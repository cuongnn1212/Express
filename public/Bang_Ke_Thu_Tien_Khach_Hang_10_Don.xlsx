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g_Ke_Thu_Tien_Khach_Ha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3" formatCode="_(* #,##0.00_);_(* \(#,##0.00\);_(* &quot;-&quot;??_);_(@_)"/>
    <numFmt numFmtId="56" formatCode="&quot;上午/下午 &quot;hh&quot;時&quot;mm&quot;分&quot;ss&quot;秒 &quot;"/>
    <numFmt numFmtId="164" formatCode="0.0_ "/>
    <numFmt numFmtId="165" formatCode="_(* #,##0.000000_);_(* \(#,##0.000000\);_(* &quot;-&quot;??_);_(@_)"/>
    <numFmt numFmtId="166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"/>
  <sheetViews>
    <sheetView workbookViewId="0"/>
  </sheetViews>
  <cols>
    <col min="1" max="1" width="6.83203125" customWidth="1"/>
    <col min="2" max="2" width="22.83203125" customWidth="1"/>
    <col min="3" max="3" width="10.83203125" customWidth="1"/>
    <col min="4" max="4" width="12.83203125" customWidth="1"/>
    <col min="5" max="5" width="12.83203125" customWidth="1"/>
    <col min="6" max="6" width="28.83203125" customWidth="1"/>
    <col min="7" max="7" width="16.83203125" customWidth="1"/>
    <col min="8" max="8" width="20.83203125" customWidth="1"/>
    <col min="9" max="9" width="18.83203125" customWidth="1"/>
    <col min="10" max="10" width="18.83203125" customWidth="1"/>
    <col min="11" max="11" width="18.83203125" customWidth="1"/>
    <col min="12" max="12" width="20.83203125" customWidth="1"/>
    <col min="13" max="13" width="16.83203125" customWidth="1"/>
    <col min="14" max="14" width="24.83203125" customWidth="1"/>
    <col min="15" max="15" width="18.83203125" customWidth="1"/>
    <col min="16" max="16" width="22.83203125" customWidth="1"/>
    <col min="17" max="17" width="20.83203125" customWidth="1"/>
    <col min="18" max="18" width="26.83203125" customWidth="1"/>
    <col min="19" max="19" width="30.83203125" customWidth="1"/>
  </cols>
  <sheetData>
    <row r="1">
      <c r="A1" t="str">
        <v>PANDALEX EXPRESS - BẢNG KÊ CƯỚC VẬN CHUYỂN QUỐC TẾ THU KHÁCH HÀNG</v>
      </c>
    </row>
    <row r="2">
      <c r="A2" t="str">
        <v>Khách hàng: FRANK | Biểu cước: UPS FRANK 2026 | Ngày xuất: 14/10/2026 | Đơn vị tiền tệ: VNĐ</v>
      </c>
    </row>
    <row r="4">
      <c r="A4" t="str">
        <v>STT</v>
      </c>
      <c r="B4" t="str">
        <v>Mã Vận Đơn (AWB)</v>
      </c>
      <c r="C4" t="str">
        <v>Hãng Bay</v>
      </c>
      <c r="D4" t="str">
        <v>Nước Đến</v>
      </c>
      <c r="E4" t="str">
        <v>Vùng (Zone)</v>
      </c>
      <c r="F4" t="str">
        <v>Loại Hàng Hóa</v>
      </c>
      <c r="G4" t="str">
        <v>Trọng Lượng (Kg)</v>
      </c>
      <c r="H4" t="str">
        <v>Cước Net Khách (VNĐ)</v>
      </c>
      <c r="I4" t="str">
        <v>Phí Biến Động - Giảm 50% (VNĐ)</v>
      </c>
      <c r="J4" t="str">
        <v>Phí Phát Hàng (VNĐ)</v>
      </c>
      <c r="K4" t="str">
        <v>Tỷ Lệ Xăng FSC (%)</v>
      </c>
      <c r="L4" t="str">
        <v>Phụ Phí Xăng FSC (VNĐ)</v>
      </c>
      <c r="M4" t="str">
        <v>Thuế VAT 8% (VNĐ)</v>
      </c>
      <c r="N4" t="str">
        <v>TỔNG CƯỚC HÃNG KHÁCH (VNĐ)</v>
      </c>
      <c r="O4" t="str">
        <v>Đơn Giá Hải Quan (đ/kg)</v>
      </c>
      <c r="P4" t="str">
        <v>PHÍ HẢI QUAN THU KHÁCH (VNĐ)</v>
      </c>
      <c r="Q4" t="str">
        <v>PHÍ AN NINH (150k/AWB)</v>
      </c>
      <c r="R4" t="str">
        <v>TỔNG TIỀN THANH TOÁN (VNĐ)</v>
      </c>
      <c r="S4" t="str">
        <v>Ghi Chú</v>
      </c>
    </row>
    <row r="5">
      <c r="A5">
        <v>1</v>
      </c>
      <c r="B5" t="str">
        <v>1Z84Y8200492184701</v>
      </c>
      <c r="C5" t="str">
        <v>UPS</v>
      </c>
      <c r="D5" t="str">
        <v>US</v>
      </c>
      <c r="E5" t="str">
        <v>US</v>
      </c>
      <c r="F5" t="str">
        <v>💄 Thực Phẩm, Mỹ Phẩm (HQ Viettel 32k / Khách 40k)</v>
      </c>
      <c r="G5">
        <v>2</v>
      </c>
      <c r="H5">
        <v>926832</v>
      </c>
      <c r="I5">
        <v>39950</v>
      </c>
      <c r="J5">
        <v>58750</v>
      </c>
      <c r="K5" t="str">
        <v>28.5%</v>
      </c>
      <c r="L5">
        <v>292277</v>
      </c>
      <c r="M5">
        <v>105425</v>
      </c>
      <c r="N5">
        <f>SUM(H5:J5)+L5+M5</f>
        <v>1423234</v>
      </c>
      <c r="O5">
        <v>40000</v>
      </c>
      <c r="P5">
        <f>IF(G5&lt;1,1,G5)*O5</f>
        <v>80000</v>
      </c>
      <c r="Q5">
        <v>150000</v>
      </c>
      <c r="R5">
        <f>N5+P5+Q5</f>
        <v>1653234</v>
      </c>
      <c r="S5" t="str">
        <v>Đã có trên hệ thống</v>
      </c>
    </row>
    <row r="6">
      <c r="A6">
        <v>2</v>
      </c>
      <c r="B6" t="str">
        <v>1Z84Y8200492184702</v>
      </c>
      <c r="C6" t="str">
        <v>UPS</v>
      </c>
      <c r="D6" t="str">
        <v>CA</v>
      </c>
      <c r="E6" t="str">
        <v>5</v>
      </c>
      <c r="F6" t="str">
        <v>📦 Hàng Thông Thường (HQ 8.000 đ/kg)</v>
      </c>
      <c r="G6">
        <v>1.5</v>
      </c>
      <c r="H6">
        <v>815235</v>
      </c>
      <c r="I6">
        <v>29963</v>
      </c>
      <c r="J6">
        <v>0</v>
      </c>
      <c r="K6" t="str">
        <v>28.5%</v>
      </c>
      <c r="L6">
        <v>240881</v>
      </c>
      <c r="M6">
        <v>86886</v>
      </c>
      <c r="N6">
        <f>SUM(H6:J6)+L6+M6</f>
        <v>1172965</v>
      </c>
      <c r="O6">
        <v>8000</v>
      </c>
      <c r="P6">
        <f>IF(G6&lt;1,1,G6)*O6</f>
        <v>12000</v>
      </c>
      <c r="Q6">
        <v>150000</v>
      </c>
      <c r="R6">
        <f>N6+P6+Q6</f>
        <v>1334965</v>
      </c>
      <c r="S6" t="str">
        <v>Đã có trên hệ thống</v>
      </c>
    </row>
    <row r="7">
      <c r="A7">
        <v>3</v>
      </c>
      <c r="B7" t="str">
        <v>771234567890</v>
      </c>
      <c r="C7" t="str">
        <v>FEDEX</v>
      </c>
      <c r="D7" t="str">
        <v>DE</v>
      </c>
      <c r="E7" t="str">
        <v>M</v>
      </c>
      <c r="F7" t="str">
        <v>🏷️ Hàng Thương Hiệu (FedEx: 35k / UPS: Chưa có giá)</v>
      </c>
      <c r="G7">
        <v>3</v>
      </c>
      <c r="H7">
        <v>945068</v>
      </c>
      <c r="I7">
        <v>0</v>
      </c>
      <c r="J7">
        <v>0</v>
      </c>
      <c r="K7" t="str">
        <v>23.5%</v>
      </c>
      <c r="L7">
        <v>222091</v>
      </c>
      <c r="M7">
        <v>93373</v>
      </c>
      <c r="N7">
        <f>SUM(H7:J7)+L7+M7</f>
        <v>1260532</v>
      </c>
      <c r="O7">
        <v>45000</v>
      </c>
      <c r="P7">
        <f>IF(G7&lt;1,1,G7)*O7</f>
        <v>135000</v>
      </c>
      <c r="Q7">
        <v>150000</v>
      </c>
      <c r="R7">
        <f>N7+P7+Q7</f>
        <v>1545532</v>
      </c>
      <c r="S7" t="str">
        <v>Đã có trên hệ thống</v>
      </c>
    </row>
    <row r="8">
      <c r="A8">
        <v>4</v>
      </c>
      <c r="B8" t="str">
        <v>1Z84Y8200492184704</v>
      </c>
      <c r="C8" t="str">
        <v>UPS</v>
      </c>
      <c r="D8" t="str">
        <v>FR</v>
      </c>
      <c r="E8" t="str">
        <v>6</v>
      </c>
      <c r="F8" t="str">
        <v>👁️ Hàng Mi Giả (Chưa có giá)</v>
      </c>
      <c r="G8">
        <v>0.5</v>
      </c>
      <c r="H8">
        <v>550940</v>
      </c>
      <c r="I8">
        <v>7050</v>
      </c>
      <c r="J8">
        <v>0</v>
      </c>
      <c r="K8" t="str">
        <v>28.5%</v>
      </c>
      <c r="L8">
        <v>159027</v>
      </c>
      <c r="M8">
        <v>57361</v>
      </c>
      <c r="N8">
        <f>SUM(H8:J8)+L8+M8</f>
        <v>774378</v>
      </c>
      <c r="O8">
        <v>0</v>
      </c>
      <c r="P8">
        <f>IF(G8&lt;1,1,G8)*O8</f>
        <v>0</v>
      </c>
      <c r="Q8">
        <v>150000</v>
      </c>
      <c r="R8">
        <f>N8+P8+Q8</f>
        <v>924378</v>
      </c>
      <c r="S8" t="str">
        <v>Đã có trên hệ thống</v>
      </c>
    </row>
    <row r="9">
      <c r="A9">
        <v>5</v>
      </c>
      <c r="B9" t="str">
        <v>1Z84Y8200492184705</v>
      </c>
      <c r="C9" t="str">
        <v>UPS</v>
      </c>
      <c r="D9" t="str">
        <v>GB</v>
      </c>
      <c r="E9" t="str">
        <v>6</v>
      </c>
      <c r="F9" t="str">
        <v>🪵 Hàng Trầm Hương (Chưa có giá)</v>
      </c>
      <c r="G9">
        <v>4.5</v>
      </c>
      <c r="H9">
        <v>1384429</v>
      </c>
      <c r="I9">
        <v>63450</v>
      </c>
      <c r="J9">
        <v>0</v>
      </c>
      <c r="K9" t="str">
        <v>28.5%</v>
      </c>
      <c r="L9">
        <v>412646</v>
      </c>
      <c r="M9">
        <v>148842</v>
      </c>
      <c r="N9">
        <f>SUM(H9:J9)+L9+M9</f>
        <v>2009367</v>
      </c>
      <c r="O9">
        <v>0</v>
      </c>
      <c r="P9">
        <f>IF(G9&lt;1,1,G9)*O9</f>
        <v>0</v>
      </c>
      <c r="Q9">
        <v>150000</v>
      </c>
      <c r="R9">
        <f>N9+P9+Q9</f>
        <v>2159367</v>
      </c>
      <c r="S9" t="str">
        <v>Đã có trên hệ thống</v>
      </c>
    </row>
    <row r="10">
      <c r="A10">
        <v>6</v>
      </c>
      <c r="B10" t="str">
        <v>771234567891</v>
      </c>
      <c r="C10" t="str">
        <v>FEDEX</v>
      </c>
      <c r="D10" t="str">
        <v>AU</v>
      </c>
      <c r="E10" t="str">
        <v>U</v>
      </c>
      <c r="F10" t="str">
        <v>💇 Hàng Tóc (Chưa có giá)</v>
      </c>
      <c r="G10">
        <v>2.5</v>
      </c>
      <c r="H10">
        <v>841707</v>
      </c>
      <c r="I10">
        <v>0</v>
      </c>
      <c r="J10">
        <v>0</v>
      </c>
      <c r="K10" t="str">
        <v>23.5%</v>
      </c>
      <c r="L10">
        <v>197801</v>
      </c>
      <c r="M10">
        <v>83161</v>
      </c>
      <c r="N10">
        <f>SUM(H10:J10)+L10+M10</f>
        <v>1122669</v>
      </c>
      <c r="O10">
        <v>0</v>
      </c>
      <c r="P10">
        <f>IF(G10&lt;1,1,G10)*O10</f>
        <v>0</v>
      </c>
      <c r="Q10">
        <v>150000</v>
      </c>
      <c r="R10">
        <f>N10+P10+Q10</f>
        <v>1272669</v>
      </c>
      <c r="S10" t="str">
        <v>Đã có trên hệ thống</v>
      </c>
    </row>
    <row r="11">
      <c r="A11">
        <v>7</v>
      </c>
      <c r="B11" t="str">
        <v>1Z84Y8200492184707</v>
      </c>
      <c r="C11" t="str">
        <v>UPS</v>
      </c>
      <c r="D11" t="str">
        <v>JP</v>
      </c>
      <c r="E11" t="str">
        <v>3</v>
      </c>
      <c r="F11" t="str">
        <v>📦 Hàng Thông Thường (HQ 8.000 đ/kg)</v>
      </c>
      <c r="G11">
        <v>5</v>
      </c>
      <c r="H11">
        <v>881638</v>
      </c>
      <c r="I11">
        <v>5875</v>
      </c>
      <c r="J11">
        <v>0</v>
      </c>
      <c r="K11" t="str">
        <v>28.5%</v>
      </c>
      <c r="L11">
        <v>252941</v>
      </c>
      <c r="M11">
        <v>91236</v>
      </c>
      <c r="N11">
        <f>SUM(H11:J11)+L11+M11</f>
        <v>1231690</v>
      </c>
      <c r="O11">
        <v>8000</v>
      </c>
      <c r="P11">
        <f>IF(G11&lt;1,1,G11)*O11</f>
        <v>40000</v>
      </c>
      <c r="Q11">
        <v>150000</v>
      </c>
      <c r="R11">
        <f>N11+P11+Q11</f>
        <v>1421690</v>
      </c>
      <c r="S11" t="str">
        <v>Đã có trên hệ thống</v>
      </c>
    </row>
    <row r="12">
      <c r="A12">
        <v>8</v>
      </c>
      <c r="B12" t="str">
        <v>771234567892</v>
      </c>
      <c r="C12" t="str">
        <v>FEDEX</v>
      </c>
      <c r="D12" t="str">
        <v>SG</v>
      </c>
      <c r="E12" t="str">
        <v>Y</v>
      </c>
      <c r="F12" t="str">
        <v>📦 Hàng Thông Thường (HQ 8.000 đ/kg)</v>
      </c>
      <c r="G12">
        <v>1</v>
      </c>
      <c r="H12">
        <v>411905</v>
      </c>
      <c r="I12">
        <v>0</v>
      </c>
      <c r="J12">
        <v>0</v>
      </c>
      <c r="K12" t="str">
        <v>23.5%</v>
      </c>
      <c r="L12">
        <v>96798</v>
      </c>
      <c r="M12">
        <v>40696</v>
      </c>
      <c r="N12">
        <f>SUM(H12:J12)+L12+M12</f>
        <v>549399</v>
      </c>
      <c r="O12">
        <v>8000</v>
      </c>
      <c r="P12">
        <f>IF(G12&lt;1,1,G12)*O12</f>
        <v>8000</v>
      </c>
      <c r="Q12">
        <v>150000</v>
      </c>
      <c r="R12">
        <f>N12+P12+Q12</f>
        <v>707399</v>
      </c>
      <c r="S12" t="str">
        <v>Đã có trên hệ thống</v>
      </c>
    </row>
    <row r="13">
      <c r="A13">
        <v>9</v>
      </c>
      <c r="B13" t="str">
        <v>1Z84Y8200492184709</v>
      </c>
      <c r="C13" t="str">
        <v>UPS</v>
      </c>
      <c r="D13" t="str">
        <v>KR</v>
      </c>
      <c r="E13" t="str">
        <v>3</v>
      </c>
      <c r="F13" t="str">
        <v>📦 Hàng Thông Thường (HQ 8.000 đ/kg)</v>
      </c>
      <c r="G13">
        <v>8</v>
      </c>
      <c r="H13">
        <v>1219800</v>
      </c>
      <c r="I13">
        <v>9400</v>
      </c>
      <c r="J13">
        <v>0</v>
      </c>
      <c r="K13" t="str">
        <v>28.5%</v>
      </c>
      <c r="L13">
        <v>350322</v>
      </c>
      <c r="M13">
        <v>126362</v>
      </c>
      <c r="N13">
        <f>SUM(H13:J13)+L13+M13</f>
        <v>1705884</v>
      </c>
      <c r="O13">
        <v>8000</v>
      </c>
      <c r="P13">
        <f>IF(G13&lt;1,1,G13)*O13</f>
        <v>64000</v>
      </c>
      <c r="Q13">
        <v>150000</v>
      </c>
      <c r="R13">
        <f>N13+P13+Q13</f>
        <v>1919884</v>
      </c>
      <c r="S13" t="str">
        <v>Đã có trên hệ thống</v>
      </c>
    </row>
    <row r="14">
      <c r="A14">
        <v>10</v>
      </c>
      <c r="B14" t="str">
        <v>1Z84Y8200492184710</v>
      </c>
      <c r="C14" t="str">
        <v>UPS</v>
      </c>
      <c r="D14" t="str">
        <v>US</v>
      </c>
      <c r="E14" t="str">
        <v>US</v>
      </c>
      <c r="F14" t="str">
        <v>💄 Thực Phẩm, Mỹ Phẩm (HQ Viettel 32k / Khách 40k)</v>
      </c>
      <c r="G14">
        <v>21</v>
      </c>
      <c r="H14">
        <v>2851101</v>
      </c>
      <c r="I14">
        <v>419475</v>
      </c>
      <c r="J14">
        <v>58750</v>
      </c>
      <c r="K14" t="str">
        <v>28.5%</v>
      </c>
      <c r="L14">
        <v>948858</v>
      </c>
      <c r="M14">
        <v>342255</v>
      </c>
      <c r="N14">
        <f>SUM(H14:J14)+L14+M14</f>
        <v>4620439</v>
      </c>
      <c r="O14">
        <v>40000</v>
      </c>
      <c r="P14">
        <f>IF(G14&lt;1,1,G14)*O14</f>
        <v>840000</v>
      </c>
      <c r="Q14">
        <v>150000</v>
      </c>
      <c r="R14">
        <f>N14+P14+Q14</f>
        <v>5610439</v>
      </c>
      <c r="S14" t="str">
        <v>Đã có trên hệ thống</v>
      </c>
    </row>
    <row r="15">
      <c r="A15" t="str">
        <v>TỔNG CỘNG</v>
      </c>
      <c r="B15" t="str">
        <v>10 vận đơn AWB</v>
      </c>
      <c r="C15" t="str">
        <v/>
      </c>
      <c r="D15" t="str">
        <v/>
      </c>
      <c r="E15" t="str">
        <v/>
      </c>
      <c r="F15" t="str">
        <v/>
      </c>
      <c r="G15">
        <f>SUM(G5:G14)</f>
        <v>49</v>
      </c>
      <c r="H15">
        <f>SUM(H5:H14)</f>
        <v>10828655</v>
      </c>
      <c r="I15">
        <f>SUM(I5:I14)</f>
        <v>575163</v>
      </c>
      <c r="J15">
        <f>SUM(J5:J14)</f>
        <v>117500</v>
      </c>
      <c r="K15" t="str">
        <v/>
      </c>
      <c r="L15">
        <f>SUM(L5:L14)</f>
        <v>3173642</v>
      </c>
      <c r="M15">
        <f>SUM(M5:M14)</f>
        <v>1175597</v>
      </c>
      <c r="N15">
        <f>SUM(N5:N14)</f>
        <v>15870557</v>
      </c>
      <c r="O15" t="str">
        <v/>
      </c>
      <c r="P15">
        <f>SUM(P5:P14)</f>
        <v>1179000</v>
      </c>
      <c r="Q15">
        <f>SUM(Q5:Q14)</f>
        <v>1500000</v>
      </c>
      <c r="R15">
        <f>SUM(R5:R14)</f>
        <v>18549557</v>
      </c>
      <c r="S15" t="str">
        <v/>
      </c>
    </row>
  </sheetData>
  <ignoredErrors>
    <ignoredError numberStoredAsText="1" sqref="A1:S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Bang_Ke_Thu_Tien_Khach_Hang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