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LC\Desktop\"/>
    </mc:Choice>
  </mc:AlternateContent>
  <xr:revisionPtr revIDLastSave="0" documentId="8_{F2B764BD-D492-4063-B867-996A2450C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" l="1"/>
  <c r="H24" i="1"/>
  <c r="H25" i="1" l="1"/>
  <c r="H2" i="1"/>
</calcChain>
</file>

<file path=xl/sharedStrings.xml><?xml version="1.0" encoding="utf-8"?>
<sst xmlns="http://schemas.openxmlformats.org/spreadsheetml/2006/main" count="51" uniqueCount="45">
  <si>
    <t>Date:</t>
  </si>
  <si>
    <t>SHIPPER</t>
  </si>
  <si>
    <t>Air waybill No.</t>
  </si>
  <si>
    <t>Company Name</t>
  </si>
  <si>
    <t>Address</t>
  </si>
  <si>
    <t>Town/ Area Code</t>
  </si>
  <si>
    <t xml:space="preserve">No. of pkgs </t>
  </si>
  <si>
    <t>State/ Country</t>
  </si>
  <si>
    <t>Contact Name</t>
  </si>
  <si>
    <t xml:space="preserve">Weight </t>
  </si>
  <si>
    <t xml:space="preserve">Phone/Fax No. </t>
  </si>
  <si>
    <t>CONSIGNEE</t>
  </si>
  <si>
    <t xml:space="preserve">Dimensions </t>
  </si>
  <si>
    <t>Services</t>
  </si>
  <si>
    <t>Postal code</t>
  </si>
  <si>
    <t xml:space="preserve">State/ Country </t>
  </si>
  <si>
    <t>Description of goods (Mô tả hàng)
Harmonized System tariff Number 
( If known)</t>
  </si>
  <si>
    <t>No
Units
(Số lượng)</t>
  </si>
  <si>
    <t>Country
of Origin
(Xuất xứ)</t>
  </si>
  <si>
    <t>Unit Value
(Giá trị của 1 đơn vị hàng)</t>
  </si>
  <si>
    <t>Total
Value
(Tổng giá trị)</t>
  </si>
  <si>
    <t>Subtotal</t>
  </si>
  <si>
    <t>Terms of Sale (Incoterm) :</t>
  </si>
  <si>
    <t xml:space="preserve">No.of packages (Số kiện)             :      </t>
  </si>
  <si>
    <t xml:space="preserve">Total Actual weight (Trọng lượng thực)          :     </t>
  </si>
  <si>
    <t>Shipping charge</t>
  </si>
  <si>
    <t xml:space="preserve">Total Dimensional weight (Trọng lượng khối) :  </t>
  </si>
  <si>
    <t>Insuarance</t>
  </si>
  <si>
    <t>Total Value of shipment (Tổng giá trị)</t>
  </si>
  <si>
    <t>clearance for export out of Vietnam.</t>
  </si>
  <si>
    <t xml:space="preserve">     Designation of Authorised Signatory</t>
  </si>
  <si>
    <t>Người khai (Ký tên/ đóng dấu)</t>
  </si>
  <si>
    <t xml:space="preserve"> INVOICE</t>
  </si>
  <si>
    <t>Unit (pcs/set/box)</t>
  </si>
  <si>
    <t>pcs</t>
  </si>
  <si>
    <t>VIETNAM</t>
  </si>
  <si>
    <t>REASON FOR EXPORT : Sample</t>
  </si>
  <si>
    <t>HA NOI NHANH CO.,LTD - 0107959511</t>
  </si>
  <si>
    <t>VIET NAM</t>
  </si>
  <si>
    <t>HA NOI NHANH CO.,LTD</t>
  </si>
  <si>
    <t>0928191299</t>
  </si>
  <si>
    <t>No. 4A- 251/8 Nguyen Khang, Yen Hoa, Hanoi</t>
  </si>
  <si>
    <t>FedEx Spot IP</t>
  </si>
  <si>
    <r>
      <t xml:space="preserve">Phôi ốp điện thoại - Phone case blank
100% Plastic 
</t>
    </r>
    <r>
      <rPr>
        <b/>
        <sz val="10"/>
        <rFont val="Arial"/>
        <family val="2"/>
      </rPr>
      <t>HTS code:</t>
    </r>
    <r>
      <rPr>
        <sz val="10"/>
        <rFont val="Arial"/>
        <family val="2"/>
      </rPr>
      <t xml:space="preserve"> 3926.90.9985
</t>
    </r>
    <r>
      <rPr>
        <b/>
        <sz val="10"/>
        <rFont val="Arial"/>
        <family val="2"/>
      </rPr>
      <t>MID code:</t>
    </r>
    <r>
      <rPr>
        <sz val="10"/>
        <rFont val="Arial"/>
        <family val="2"/>
      </rPr>
      <t xml:space="preserve"> VNSUNDAVIETNAMVBAC
</t>
    </r>
    <r>
      <rPr>
        <b/>
        <sz val="10"/>
        <rFont val="Arial"/>
        <family val="2"/>
      </rPr>
      <t>Mnf:</t>
    </r>
    <r>
      <rPr>
        <sz val="10"/>
        <rFont val="Arial"/>
        <family val="2"/>
      </rPr>
      <t xml:space="preserve"> Sunda Viet Nam
</t>
    </r>
    <r>
      <rPr>
        <b/>
        <sz val="10"/>
        <rFont val="Arial"/>
        <family val="2"/>
      </rPr>
      <t>Add:</t>
    </r>
    <r>
      <rPr>
        <sz val="10"/>
        <rFont val="Arial"/>
        <family val="2"/>
      </rPr>
      <t xml:space="preserve"> Factory E08, Lot CN-03, Van Trung Industrial Park, Van Trung, Viet Yen , Bac Giang</t>
    </r>
  </si>
  <si>
    <r>
      <t xml:space="preserve">Men's and women's cloth hats with plastic brim - Mũ vải nam nữ có vành bằng nhựa
80% Khaki, 20% PVC plastic woven, NO BRAND
</t>
    </r>
    <r>
      <rPr>
        <b/>
        <sz val="10"/>
        <rFont val="Arial"/>
        <family val="2"/>
      </rPr>
      <t>HS Code:</t>
    </r>
    <r>
      <rPr>
        <sz val="10"/>
        <rFont val="Arial"/>
        <family val="2"/>
      </rPr>
      <t xml:space="preserve"> 6504.00.0000
</t>
    </r>
    <r>
      <rPr>
        <b/>
        <sz val="10"/>
        <rFont val="Arial"/>
        <family val="2"/>
      </rPr>
      <t>MID code:</t>
    </r>
    <r>
      <rPr>
        <sz val="10"/>
        <rFont val="Arial"/>
        <family val="2"/>
      </rPr>
      <t xml:space="preserve"> VNTHIENBANG19THAN
</t>
    </r>
    <r>
      <rPr>
        <b/>
        <sz val="10"/>
        <rFont val="Arial"/>
        <family val="2"/>
      </rPr>
      <t>Mnf</t>
    </r>
    <r>
      <rPr>
        <sz val="10"/>
        <rFont val="Arial"/>
        <family val="2"/>
      </rPr>
      <t xml:space="preserve">: Thien Bang International., JSC
</t>
    </r>
    <r>
      <rPr>
        <b/>
        <sz val="10"/>
        <rFont val="Arial"/>
        <family val="2"/>
      </rPr>
      <t>Add:</t>
    </r>
    <r>
      <rPr>
        <sz val="10"/>
        <rFont val="Arial"/>
        <family val="2"/>
      </rPr>
      <t xml:space="preserve"> No. 19, Lane 10, Tuu Phuc Street, Tay Tuu Ward, Ha Noi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</si>
</sst>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\ &quot;USD&quot;"/>
    <numFmt numFmtId="165" formatCode="0.00\ &quot;KGS&quot;"/>
    <numFmt numFmtId="166" formatCode="&quot;$&quot;#,##0.00"/>
    <numFmt numFmtId="167" formatCode="dd/mm/yyyy;@"/>
  </numFmts>
  <fonts count="26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i/>
      <sz val="11"/>
      <name val="Arial"/>
      <family val="2"/>
    </font>
    <font>
      <b/>
      <u/>
      <sz val="11"/>
      <name val="Arial Narrow"/>
      <family val="2"/>
    </font>
    <font>
      <b/>
      <sz val="11"/>
      <name val="Arial Narrow"/>
      <family val="2"/>
    </font>
    <font>
      <b/>
      <sz val="11"/>
      <name val="Century Gothic"/>
      <family val="2"/>
    </font>
    <font>
      <sz val="11"/>
      <name val="Arial Narrow"/>
      <family val="2"/>
    </font>
    <font>
      <sz val="11"/>
      <name val="Century Gothic"/>
      <family val="2"/>
    </font>
    <font>
      <b/>
      <u/>
      <sz val="12"/>
      <name val="Arial Narrow"/>
      <family val="2"/>
    </font>
    <font>
      <b/>
      <sz val="11"/>
      <name val="Arial"/>
      <family val="2"/>
    </font>
    <font>
      <sz val="14"/>
      <name val="Arial"/>
      <family val="2"/>
    </font>
    <font>
      <sz val="12"/>
      <name val="Times New Roman"/>
      <family val="1"/>
    </font>
    <font>
      <b/>
      <sz val="11"/>
      <color theme="4" tint="-0.499984740745262"/>
      <name val="Arial"/>
      <family val="2"/>
    </font>
    <font>
      <sz val="11"/>
      <color rgb="FF000000"/>
      <name val="Tahoma"/>
      <family val="2"/>
    </font>
    <font>
      <b/>
      <sz val="11"/>
      <color theme="1"/>
      <name val="Century Gothic"/>
      <family val="2"/>
    </font>
    <font>
      <sz val="10"/>
      <color rgb="FF222222"/>
      <name val="Arial"/>
      <family val="2"/>
    </font>
    <font>
      <sz val="11"/>
      <color theme="1"/>
      <name val="Century Gothic"/>
      <family val="2"/>
    </font>
    <font>
      <sz val="12"/>
      <color rgb="FF222222"/>
      <name val="Times New Roman"/>
      <family val="1"/>
    </font>
    <font>
      <b/>
      <sz val="11"/>
      <color theme="4" tint="-0.499984740745262"/>
      <name val="Century Gothic"/>
      <family val="2"/>
    </font>
    <font>
      <sz val="8"/>
      <name val="Arial"/>
      <family val="2"/>
    </font>
    <font>
      <b/>
      <sz val="12"/>
      <color rgb="FF222222"/>
      <name val="Times New Roman"/>
      <family val="1"/>
    </font>
    <font>
      <sz val="11"/>
      <color theme="1"/>
      <name val="Segoe U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5" fillId="0" borderId="0" xfId="0" applyFont="1"/>
    <xf numFmtId="0" fontId="15" fillId="0" borderId="0" xfId="0" applyFont="1" applyAlignment="1">
      <alignment horizontal="center"/>
    </xf>
    <xf numFmtId="164" fontId="5" fillId="0" borderId="0" xfId="0" applyNumberFormat="1" applyFont="1"/>
    <xf numFmtId="0" fontId="6" fillId="0" borderId="1" xfId="0" applyFont="1" applyBorder="1"/>
    <xf numFmtId="164" fontId="7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9" fillId="0" borderId="1" xfId="0" applyFont="1" applyBorder="1"/>
    <xf numFmtId="0" fontId="17" fillId="0" borderId="4" xfId="0" applyFont="1" applyBorder="1" applyAlignment="1">
      <alignment horizontal="left"/>
    </xf>
    <xf numFmtId="164" fontId="8" fillId="0" borderId="2" xfId="0" applyNumberFormat="1" applyFont="1" applyBorder="1" applyAlignment="1">
      <alignment horizontal="center" vertical="center"/>
    </xf>
    <xf numFmtId="0" fontId="18" fillId="0" borderId="0" xfId="0" applyFont="1"/>
    <xf numFmtId="0" fontId="19" fillId="0" borderId="4" xfId="0" applyFont="1" applyBorder="1" applyAlignment="1">
      <alignment horizontal="left"/>
    </xf>
    <xf numFmtId="164" fontId="10" fillId="0" borderId="2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left" indent="1"/>
    </xf>
    <xf numFmtId="0" fontId="10" fillId="0" borderId="3" xfId="0" applyFont="1" applyBorder="1" applyAlignment="1">
      <alignment horizontal="center" vertical="center"/>
    </xf>
    <xf numFmtId="0" fontId="19" fillId="0" borderId="5" xfId="0" applyFont="1" applyBorder="1"/>
    <xf numFmtId="0" fontId="19" fillId="0" borderId="5" xfId="0" applyFont="1" applyBorder="1" applyAlignment="1">
      <alignment horizontal="left"/>
    </xf>
    <xf numFmtId="0" fontId="10" fillId="0" borderId="0" xfId="0" applyFont="1"/>
    <xf numFmtId="1" fontId="10" fillId="0" borderId="0" xfId="0" applyNumberFormat="1" applyFont="1"/>
    <xf numFmtId="0" fontId="11" fillId="0" borderId="1" xfId="0" applyFont="1" applyBorder="1"/>
    <xf numFmtId="164" fontId="3" fillId="0" borderId="0" xfId="0" applyNumberFormat="1" applyFont="1"/>
    <xf numFmtId="0" fontId="20" fillId="0" borderId="0" xfId="0" applyFont="1"/>
    <xf numFmtId="164" fontId="12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/>
    </xf>
    <xf numFmtId="0" fontId="12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3" fillId="0" borderId="0" xfId="0" applyFont="1"/>
    <xf numFmtId="0" fontId="2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6" fontId="13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0" fillId="0" borderId="0" xfId="0" quotePrefix="1" applyFont="1"/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0" xfId="0" quotePrefix="1" applyFont="1"/>
    <xf numFmtId="167" fontId="16" fillId="0" borderId="2" xfId="0" quotePrefix="1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165" fontId="3" fillId="0" borderId="3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left"/>
    </xf>
    <xf numFmtId="0" fontId="0" fillId="0" borderId="12" xfId="0" applyBorder="1" applyAlignment="1">
      <alignment horizontal="right" wrapText="1"/>
    </xf>
    <xf numFmtId="164" fontId="10" fillId="0" borderId="13" xfId="0" applyNumberFormat="1" applyFont="1" applyBorder="1" applyAlignment="1">
      <alignment horizontal="left"/>
    </xf>
    <xf numFmtId="44" fontId="1" fillId="0" borderId="6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/>
    </xf>
    <xf numFmtId="0" fontId="19" fillId="0" borderId="5" xfId="0" quotePrefix="1" applyFont="1" applyBorder="1"/>
    <xf numFmtId="0" fontId="21" fillId="0" borderId="5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4"/>
  <sheetViews>
    <sheetView showGridLines="0" tabSelected="1" zoomScaleNormal="100" workbookViewId="0">
      <selection activeCell="I9" sqref="I9"/>
    </sheetView>
  </sheetViews>
  <sheetFormatPr defaultColWidth="9.140625" defaultRowHeight="14.25" x14ac:dyDescent="0.2"/>
  <cols>
    <col min="1" max="1" width="1.28515625" style="3" customWidth="1"/>
    <col min="2" max="2" width="16" style="3" customWidth="1"/>
    <col min="3" max="3" width="23.28515625" style="3" customWidth="1"/>
    <col min="4" max="4" width="10.42578125" style="3" customWidth="1"/>
    <col min="5" max="5" width="12.28515625" style="3" customWidth="1"/>
    <col min="6" max="6" width="14.7109375" style="4" customWidth="1"/>
    <col min="7" max="7" width="13.28515625" style="3" customWidth="1"/>
    <col min="8" max="8" width="21.85546875" style="5" customWidth="1"/>
    <col min="9" max="9" width="9.140625" style="58" customWidth="1"/>
    <col min="10" max="16384" width="9.140625" style="3"/>
  </cols>
  <sheetData>
    <row r="1" spans="2:8" ht="24.75" customHeight="1" x14ac:dyDescent="0.2">
      <c r="B1" s="69" t="s">
        <v>32</v>
      </c>
      <c r="C1" s="70"/>
      <c r="D1" s="70"/>
      <c r="E1" s="70"/>
      <c r="F1" s="70"/>
      <c r="G1" s="70"/>
      <c r="H1" s="71"/>
    </row>
    <row r="2" spans="2:8" ht="17.25" customHeight="1" x14ac:dyDescent="0.25">
      <c r="B2" s="6"/>
      <c r="C2" s="7"/>
      <c r="D2" s="8"/>
      <c r="E2" s="8"/>
      <c r="G2" s="9" t="s">
        <v>0</v>
      </c>
      <c r="H2" s="56">
        <f ca="1">NOW()</f>
        <v>45944.386674421294</v>
      </c>
    </row>
    <row r="3" spans="2:8" ht="15.95" customHeight="1" x14ac:dyDescent="0.3">
      <c r="B3" s="10" t="s">
        <v>1</v>
      </c>
      <c r="G3" s="11" t="s">
        <v>2</v>
      </c>
      <c r="H3" s="12"/>
    </row>
    <row r="4" spans="2:8" ht="15.95" customHeight="1" x14ac:dyDescent="0.3">
      <c r="B4" s="13" t="s">
        <v>3</v>
      </c>
      <c r="C4" s="14" t="s">
        <v>37</v>
      </c>
      <c r="D4" s="14"/>
      <c r="E4" s="55"/>
      <c r="F4" s="14"/>
      <c r="G4" s="11"/>
      <c r="H4" s="15"/>
    </row>
    <row r="5" spans="2:8" ht="15.95" customHeight="1" x14ac:dyDescent="0.3">
      <c r="B5" s="13" t="s">
        <v>4</v>
      </c>
      <c r="C5" s="16" t="s">
        <v>41</v>
      </c>
      <c r="D5" s="17"/>
      <c r="E5" s="17"/>
      <c r="F5" s="17"/>
      <c r="G5" s="11"/>
      <c r="H5" s="18"/>
    </row>
    <row r="6" spans="2:8" ht="15.95" customHeight="1" x14ac:dyDescent="0.3">
      <c r="B6" s="13" t="s">
        <v>5</v>
      </c>
      <c r="C6" s="17">
        <v>100000</v>
      </c>
      <c r="D6" s="17"/>
      <c r="E6" s="17"/>
      <c r="F6" s="17"/>
      <c r="G6" s="19" t="s">
        <v>6</v>
      </c>
      <c r="H6" s="20">
        <v>1</v>
      </c>
    </row>
    <row r="7" spans="2:8" ht="15.95" customHeight="1" x14ac:dyDescent="0.3">
      <c r="B7" s="13" t="s">
        <v>7</v>
      </c>
      <c r="C7" s="17" t="s">
        <v>38</v>
      </c>
      <c r="D7" s="14"/>
      <c r="E7" s="14"/>
      <c r="F7" s="14"/>
      <c r="G7" s="19"/>
      <c r="H7" s="18"/>
    </row>
    <row r="8" spans="2:8" ht="15.95" customHeight="1" x14ac:dyDescent="0.3">
      <c r="B8" s="13" t="s">
        <v>8</v>
      </c>
      <c r="C8" s="3" t="s">
        <v>39</v>
      </c>
      <c r="D8" s="21"/>
      <c r="E8" s="21"/>
      <c r="F8" s="22"/>
      <c r="G8" s="19" t="s">
        <v>9</v>
      </c>
      <c r="H8" s="59"/>
    </row>
    <row r="9" spans="2:8" ht="18" customHeight="1" x14ac:dyDescent="0.3">
      <c r="B9" s="13" t="s">
        <v>10</v>
      </c>
      <c r="C9" s="65" t="s">
        <v>40</v>
      </c>
      <c r="D9" s="22"/>
      <c r="E9" s="22"/>
      <c r="F9" s="22"/>
      <c r="G9" s="19"/>
      <c r="H9" s="60"/>
    </row>
    <row r="10" spans="2:8" ht="18" customHeight="1" x14ac:dyDescent="0.3">
      <c r="B10" s="13"/>
      <c r="C10" s="23"/>
      <c r="D10" s="23"/>
      <c r="E10" s="23"/>
      <c r="F10" s="24"/>
      <c r="G10" s="19" t="s">
        <v>12</v>
      </c>
      <c r="H10" s="57"/>
    </row>
    <row r="11" spans="2:8" ht="18" customHeight="1" x14ac:dyDescent="0.3">
      <c r="B11" s="13"/>
      <c r="C11" s="23"/>
      <c r="D11" s="23"/>
      <c r="E11" s="23"/>
      <c r="F11" s="24"/>
      <c r="G11" s="19"/>
      <c r="H11" s="57"/>
    </row>
    <row r="12" spans="2:8" ht="18" customHeight="1" x14ac:dyDescent="0.3">
      <c r="B12" s="25" t="s">
        <v>11</v>
      </c>
      <c r="G12" s="19"/>
      <c r="H12" s="61"/>
    </row>
    <row r="13" spans="2:8" ht="18" customHeight="1" x14ac:dyDescent="0.3">
      <c r="B13" s="25"/>
      <c r="G13" s="19"/>
      <c r="H13" s="61"/>
    </row>
    <row r="14" spans="2:8" ht="25.5" customHeight="1" x14ac:dyDescent="0.3">
      <c r="B14" s="49" t="s">
        <v>3</v>
      </c>
      <c r="C14" s="77"/>
      <c r="D14" s="77"/>
      <c r="E14" s="77"/>
      <c r="F14" s="77"/>
      <c r="G14" s="26"/>
      <c r="H14" s="62"/>
    </row>
    <row r="15" spans="2:8" ht="24.75" customHeight="1" x14ac:dyDescent="0.3">
      <c r="B15" s="13" t="s">
        <v>4</v>
      </c>
      <c r="C15" s="74"/>
      <c r="D15" s="75"/>
      <c r="E15" s="75"/>
      <c r="F15" s="75"/>
      <c r="G15" s="28" t="s">
        <v>13</v>
      </c>
      <c r="H15" s="48" t="s">
        <v>42</v>
      </c>
    </row>
    <row r="16" spans="2:8" ht="42.75" customHeight="1" x14ac:dyDescent="0.3">
      <c r="B16" s="13"/>
      <c r="C16" s="76"/>
      <c r="D16" s="76"/>
      <c r="E16" s="76"/>
      <c r="F16" s="76"/>
      <c r="G16" s="26"/>
      <c r="H16" s="29"/>
    </row>
    <row r="17" spans="2:9" ht="15.95" customHeight="1" x14ac:dyDescent="0.3">
      <c r="B17" s="13" t="s">
        <v>14</v>
      </c>
      <c r="C17" s="66"/>
      <c r="D17" s="30"/>
      <c r="E17" s="30"/>
      <c r="F17" s="30"/>
      <c r="G17" s="26"/>
      <c r="H17" s="29"/>
    </row>
    <row r="18" spans="2:9" ht="15.95" customHeight="1" x14ac:dyDescent="0.3">
      <c r="B18" s="13" t="s">
        <v>15</v>
      </c>
      <c r="C18" s="17"/>
      <c r="D18" s="17"/>
      <c r="E18" s="17"/>
      <c r="F18" s="17"/>
      <c r="G18" s="26"/>
      <c r="H18" s="29"/>
    </row>
    <row r="19" spans="2:9" ht="15.95" customHeight="1" x14ac:dyDescent="0.3">
      <c r="B19" s="13" t="s">
        <v>8</v>
      </c>
      <c r="C19" s="77"/>
      <c r="D19" s="77"/>
      <c r="E19" s="77"/>
      <c r="F19" s="77"/>
      <c r="G19" s="26"/>
      <c r="H19" s="29"/>
    </row>
    <row r="20" spans="2:9" ht="15.95" customHeight="1" x14ac:dyDescent="0.3">
      <c r="B20" s="13" t="s">
        <v>10</v>
      </c>
      <c r="C20" s="50"/>
      <c r="D20" s="27"/>
      <c r="E20" s="27"/>
      <c r="F20" s="27"/>
      <c r="G20" s="26"/>
      <c r="H20" s="29"/>
    </row>
    <row r="21" spans="2:9" ht="18" customHeight="1" x14ac:dyDescent="0.25">
      <c r="B21" s="6"/>
      <c r="C21" s="31"/>
      <c r="D21" s="31"/>
      <c r="E21" s="31"/>
      <c r="G21" s="26"/>
      <c r="H21" s="29"/>
    </row>
    <row r="22" spans="2:9" s="1" customFormat="1" ht="57" customHeight="1" x14ac:dyDescent="0.2">
      <c r="B22" s="72" t="s">
        <v>16</v>
      </c>
      <c r="C22" s="73"/>
      <c r="D22" s="32" t="s">
        <v>17</v>
      </c>
      <c r="E22" s="53" t="s">
        <v>33</v>
      </c>
      <c r="F22" s="32" t="s">
        <v>18</v>
      </c>
      <c r="G22" s="33" t="s">
        <v>19</v>
      </c>
      <c r="H22" s="32" t="s">
        <v>20</v>
      </c>
    </row>
    <row r="23" spans="2:9" s="1" customFormat="1" ht="120" customHeight="1" x14ac:dyDescent="0.2">
      <c r="B23" s="81" t="s">
        <v>43</v>
      </c>
      <c r="C23" s="80"/>
      <c r="D23" s="51">
        <v>15</v>
      </c>
      <c r="E23" s="54" t="s">
        <v>34</v>
      </c>
      <c r="F23" s="53" t="s">
        <v>35</v>
      </c>
      <c r="G23" s="63">
        <v>0.2</v>
      </c>
      <c r="H23" s="63">
        <f>G23*D23</f>
        <v>3</v>
      </c>
    </row>
    <row r="24" spans="2:9" s="1" customFormat="1" ht="129" customHeight="1" x14ac:dyDescent="0.2">
      <c r="B24" s="78" t="s">
        <v>44</v>
      </c>
      <c r="C24" s="79"/>
      <c r="D24" s="51">
        <v>115</v>
      </c>
      <c r="E24" s="54" t="s">
        <v>34</v>
      </c>
      <c r="F24" s="53" t="s">
        <v>35</v>
      </c>
      <c r="G24" s="63">
        <v>0.8</v>
      </c>
      <c r="H24" s="63">
        <f>G24*D24</f>
        <v>92</v>
      </c>
    </row>
    <row r="25" spans="2:9" s="2" customFormat="1" ht="18" customHeight="1" x14ac:dyDescent="0.2">
      <c r="B25" s="35" t="s">
        <v>36</v>
      </c>
      <c r="C25" s="36"/>
      <c r="D25" s="36"/>
      <c r="E25" s="36"/>
      <c r="F25" s="37"/>
      <c r="G25" s="38" t="s">
        <v>21</v>
      </c>
      <c r="H25" s="64">
        <f>SUM(H23:H24)</f>
        <v>95</v>
      </c>
      <c r="I25" s="52"/>
    </row>
    <row r="26" spans="2:9" ht="15" x14ac:dyDescent="0.2">
      <c r="B26" s="2"/>
      <c r="C26" s="2"/>
      <c r="D26" s="2"/>
      <c r="E26" s="2"/>
      <c r="F26" s="2"/>
      <c r="G26" s="2"/>
      <c r="H26" s="39"/>
    </row>
    <row r="27" spans="2:9" s="2" customFormat="1" ht="15.75" customHeight="1" x14ac:dyDescent="0.2">
      <c r="B27" s="40" t="s">
        <v>22</v>
      </c>
      <c r="C27" s="36"/>
      <c r="D27" s="37"/>
      <c r="E27" s="52"/>
      <c r="F27" s="41"/>
      <c r="G27" s="41"/>
      <c r="H27" s="39"/>
      <c r="I27" s="52"/>
    </row>
    <row r="28" spans="2:9" s="2" customFormat="1" ht="19.5" customHeight="1" x14ac:dyDescent="0.2">
      <c r="B28" s="40" t="s">
        <v>23</v>
      </c>
      <c r="C28" s="36"/>
      <c r="D28" s="37"/>
      <c r="E28" s="52"/>
      <c r="F28" s="41"/>
      <c r="G28" s="41"/>
      <c r="H28" s="39"/>
      <c r="I28" s="52"/>
    </row>
    <row r="29" spans="2:9" s="2" customFormat="1" ht="17.25" customHeight="1" x14ac:dyDescent="0.2">
      <c r="B29" s="40" t="s">
        <v>24</v>
      </c>
      <c r="C29" s="36"/>
      <c r="D29" s="37"/>
      <c r="E29" s="37"/>
      <c r="F29" s="38" t="s">
        <v>25</v>
      </c>
      <c r="G29" s="38"/>
      <c r="H29" s="34"/>
      <c r="I29" s="52"/>
    </row>
    <row r="30" spans="2:9" s="2" customFormat="1" ht="17.25" customHeight="1" x14ac:dyDescent="0.2">
      <c r="B30" s="40" t="s">
        <v>26</v>
      </c>
      <c r="C30" s="36"/>
      <c r="D30" s="37"/>
      <c r="E30" s="37"/>
      <c r="F30" s="38" t="s">
        <v>27</v>
      </c>
      <c r="G30" s="38"/>
      <c r="H30" s="34"/>
      <c r="I30" s="52"/>
    </row>
    <row r="31" spans="2:9" ht="18" customHeight="1" x14ac:dyDescent="0.25">
      <c r="B31" s="42"/>
      <c r="C31" s="42"/>
      <c r="D31" s="42"/>
      <c r="E31" s="42"/>
      <c r="F31" s="43" t="s">
        <v>28</v>
      </c>
      <c r="G31" s="44"/>
      <c r="H31" s="45"/>
    </row>
    <row r="32" spans="2:9" ht="16.5" x14ac:dyDescent="0.3">
      <c r="B32" s="46" t="s">
        <v>29</v>
      </c>
      <c r="C32" s="46"/>
      <c r="D32" s="46"/>
      <c r="E32" s="46"/>
      <c r="F32" s="46"/>
      <c r="G32" s="46"/>
      <c r="H32" s="47"/>
    </row>
    <row r="33" spans="6:8" ht="16.5" customHeight="1" x14ac:dyDescent="0.2">
      <c r="F33" s="67" t="s">
        <v>30</v>
      </c>
      <c r="G33" s="67"/>
      <c r="H33" s="67"/>
    </row>
    <row r="34" spans="6:8" ht="15.75" x14ac:dyDescent="0.25">
      <c r="F34" s="68" t="s">
        <v>31</v>
      </c>
      <c r="G34" s="68"/>
      <c r="H34" s="68"/>
    </row>
  </sheetData>
  <mergeCells count="9">
    <mergeCell ref="F33:H33"/>
    <mergeCell ref="F34:H34"/>
    <mergeCell ref="B1:H1"/>
    <mergeCell ref="B22:C22"/>
    <mergeCell ref="C15:F16"/>
    <mergeCell ref="C14:F14"/>
    <mergeCell ref="C19:F19"/>
    <mergeCell ref="B24:C24"/>
    <mergeCell ref="B23:C23"/>
  </mergeCells>
  <phoneticPr fontId="22" type="noConversion"/>
  <pageMargins left="0.28000000000000003" right="0.35" top="0.25" bottom="0.21" header="0.18" footer="0.21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 Noi Nhanh Ke toan</cp:lastModifiedBy>
  <cp:lastPrinted>2023-07-25T06:39:25Z</cp:lastPrinted>
  <dcterms:created xsi:type="dcterms:W3CDTF">2010-11-17T09:32:11Z</dcterms:created>
  <dcterms:modified xsi:type="dcterms:W3CDTF">2025-10-14T02:17:12Z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5F216188BD58439C8A8D6A07584A264F</vt:lpwstr>
  </property>
  <property fmtid="{D5CDD505-2E9C-101B-9397-08002B2CF9AE}" pid="3" name="KSOProductBuildVer">
    <vt:lpwstr>1033-11.2.0.11537</vt:lpwstr>
  </property>
</Properties>
</file>