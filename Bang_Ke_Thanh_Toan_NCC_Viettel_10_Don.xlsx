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g_Ke_Chi_Tra_NCC_Va_HQ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(* #,##0.00_);_(* \(#,##0.00\);_(* &quot;-&quot;??_);_(@_)"/>
    <numFmt numFmtId="56" formatCode="&quot;上午/下午 &quot;hh&quot;時&quot;mm&quot;分&quot;ss&quot;秒 &quot;"/>
    <numFmt numFmtId="164" formatCode="0.0_ "/>
    <numFmt numFmtId="165" formatCode="_(* #,##0.000000_);_(* \(#,##0.000000\);_(* &quot;-&quot;??_);_(@_)"/>
    <numFmt numFmtId="166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cols>
    <col min="1" max="1" width="6.83203125" customWidth="1"/>
    <col min="2" max="2" width="22.83203125" customWidth="1"/>
    <col min="3" max="3" width="10.83203125" customWidth="1"/>
    <col min="4" max="4" width="12.83203125" customWidth="1"/>
    <col min="5" max="5" width="12.83203125" customWidth="1"/>
    <col min="6" max="6" width="28.83203125" customWidth="1"/>
    <col min="7" max="7" width="16.83203125" customWidth="1"/>
    <col min="8" max="8" width="20.83203125" customWidth="1"/>
    <col min="9" max="9" width="18.83203125" customWidth="1"/>
    <col min="10" max="10" width="18.83203125" customWidth="1"/>
    <col min="11" max="11" width="20.83203125" customWidth="1"/>
    <col min="12" max="12" width="16.83203125" customWidth="1"/>
    <col min="13" max="13" width="24.83203125" customWidth="1"/>
    <col min="14" max="14" width="24.83203125" customWidth="1"/>
    <col min="15" max="15" width="18.83203125" customWidth="1"/>
    <col min="16" max="16" width="22.83203125" customWidth="1"/>
    <col min="17" max="17" width="26.83203125" customWidth="1"/>
    <col min="18" max="18" width="30.83203125" customWidth="1"/>
  </cols>
  <sheetData>
    <row r="1">
      <c r="A1" t="str">
        <v>PANDALEX EXPRESS - BẢNG KÊ CHI TRẢ CHI PHÍ ĐỐI SOÁT (CƯỚC HÃNG VIETTEL &amp; PHÍ HẢI QUAN)</v>
      </c>
    </row>
    <row r="2">
      <c r="A2" t="str">
        <v>Đối tác: VIETTEL POST (Dịch vụ UPS/FedEx) &amp; HẢI QUAN UPS / HẢI QUAN FEDEX | Ngày xuất: 14/10/2026 | Đơn vị tiền tệ: VNĐ</v>
      </c>
    </row>
    <row r="4">
      <c r="A4" t="str">
        <v>STT</v>
      </c>
      <c r="B4" t="str">
        <v>Mã Vận Đơn (AWB)</v>
      </c>
      <c r="C4" t="str">
        <v>Hãng Vận Chuyển</v>
      </c>
      <c r="D4" t="str">
        <v>Nước Đến</v>
      </c>
      <c r="E4" t="str">
        <v>Vùng (Zone)</v>
      </c>
      <c r="F4" t="str">
        <v>Loại Hàng Hóa</v>
      </c>
      <c r="G4" t="str">
        <v>Trọng Lượng (Kg)</v>
      </c>
      <c r="H4" t="str">
        <v>Cước Net Viettel (VNĐ)</v>
      </c>
      <c r="I4" t="str">
        <v>Phí Biến Động - Giảm 50% (VNĐ)</v>
      </c>
      <c r="J4" t="str">
        <v>Phí Phát Hàng (VNĐ)</v>
      </c>
      <c r="K4" t="str">
        <v>Phụ Phí Xăng FSC (VNĐ)</v>
      </c>
      <c r="L4" t="str">
        <v>Thuế VAT 8% (VNĐ)</v>
      </c>
      <c r="M4" t="str">
        <v>TỔNG CƯỚC TRẢ HÃNG VIETTEL (VNĐ)</v>
      </c>
      <c r="N4" t="str">
        <v>Đơn Vị Thụ Hưởng Hải Quan</v>
      </c>
      <c r="O4" t="str">
        <v>Đơn Giá Hải Quan (đ/kg)</v>
      </c>
      <c r="P4" t="str">
        <v>THÀNH TIỀN PHÍ HẢI QUAN (VNĐ)</v>
      </c>
      <c r="Q4" t="str">
        <v>TỔNG CHI TRẢ CHI PHÍ (VNĐ)</v>
      </c>
      <c r="R4" t="str">
        <v>Ghi Chú Đối Soát</v>
      </c>
    </row>
    <row r="5">
      <c r="A5">
        <v>1</v>
      </c>
      <c r="B5" t="str">
        <v>1Z84Y8200492184701</v>
      </c>
      <c r="C5" t="str">
        <v>UPS</v>
      </c>
      <c r="D5" t="str">
        <v>US</v>
      </c>
      <c r="E5" t="str">
        <v>US</v>
      </c>
      <c r="F5" t="str">
        <v>💄 Thực Phẩm, Mỹ Phẩm (HQ Viettel 32k / Khách 40k)</v>
      </c>
      <c r="G5">
        <v>2</v>
      </c>
      <c r="H5">
        <v>860288</v>
      </c>
      <c r="I5">
        <v>39950</v>
      </c>
      <c r="J5">
        <v>58750</v>
      </c>
      <c r="K5">
        <v>273312</v>
      </c>
      <c r="L5">
        <v>98584</v>
      </c>
      <c r="M5">
        <f>SUM(H5:L5)</f>
        <v>1330884</v>
      </c>
      <c r="N5" t="str">
        <v>Hải quan UPS</v>
      </c>
      <c r="O5">
        <v>32000</v>
      </c>
      <c r="P5">
        <f>G5*O5</f>
        <v>64000</v>
      </c>
      <c r="Q5">
        <f>M5+P5</f>
        <v>1394884</v>
      </c>
      <c r="R5" t="str">
        <v>Đã có trên hệ thống</v>
      </c>
    </row>
    <row r="6">
      <c r="A6">
        <v>2</v>
      </c>
      <c r="B6" t="str">
        <v>1Z84Y8200492184702</v>
      </c>
      <c r="C6" t="str">
        <v>UPS</v>
      </c>
      <c r="D6" t="str">
        <v>CA</v>
      </c>
      <c r="E6" t="str">
        <v>5</v>
      </c>
      <c r="F6" t="str">
        <v>📦 Hàng Thông Thường (HQ 8.000 đ/kg)</v>
      </c>
      <c r="G6">
        <v>1.5</v>
      </c>
      <c r="H6">
        <v>750797</v>
      </c>
      <c r="I6">
        <v>29963</v>
      </c>
      <c r="J6">
        <v>0</v>
      </c>
      <c r="K6">
        <v>222517</v>
      </c>
      <c r="L6">
        <v>80262</v>
      </c>
      <c r="M6">
        <f>SUM(H6:L6)</f>
        <v>1083539</v>
      </c>
      <c r="N6" t="str">
        <v>Hải quan UPS</v>
      </c>
      <c r="O6">
        <v>8000</v>
      </c>
      <c r="P6">
        <f>G6*O6</f>
        <v>12000</v>
      </c>
      <c r="Q6">
        <f>M6+P6</f>
        <v>1095539</v>
      </c>
      <c r="R6" t="str">
        <v>AWB mới (Tự tính cước)</v>
      </c>
    </row>
    <row r="7">
      <c r="A7">
        <v>3</v>
      </c>
      <c r="B7" t="str">
        <v>771234567890</v>
      </c>
      <c r="C7" t="str">
        <v>FEDEX</v>
      </c>
      <c r="D7" t="str">
        <v>DE</v>
      </c>
      <c r="E7" t="str">
        <v>M</v>
      </c>
      <c r="F7" t="str">
        <v>🏷️ Hàng Thương Hiệu (FedEx: 35k / UPS: Chưa có giá)</v>
      </c>
      <c r="G7">
        <v>3</v>
      </c>
      <c r="H7">
        <v>945068</v>
      </c>
      <c r="I7">
        <v>0</v>
      </c>
      <c r="J7">
        <v>0</v>
      </c>
      <c r="K7">
        <v>222091</v>
      </c>
      <c r="L7">
        <v>93373</v>
      </c>
      <c r="M7">
        <f>SUM(H7:L7)</f>
        <v>1260532</v>
      </c>
      <c r="N7" t="str">
        <v>Hải quan FedEx</v>
      </c>
      <c r="O7">
        <v>35000</v>
      </c>
      <c r="P7">
        <f>G7*O7</f>
        <v>105000</v>
      </c>
      <c r="Q7">
        <f>M7+P7</f>
        <v>1365532</v>
      </c>
      <c r="R7" t="str">
        <v>Đã có trên hệ thống</v>
      </c>
    </row>
    <row r="8">
      <c r="A8">
        <v>4</v>
      </c>
      <c r="B8" t="str">
        <v>1Z84Y8200492184704</v>
      </c>
      <c r="C8" t="str">
        <v>UPS</v>
      </c>
      <c r="D8" t="str">
        <v>FR</v>
      </c>
      <c r="E8" t="str">
        <v>6</v>
      </c>
      <c r="F8" t="str">
        <v>👁️ Hàng Mi Giả (Chưa có giá)</v>
      </c>
      <c r="G8">
        <v>0.5</v>
      </c>
      <c r="H8">
        <v>491488</v>
      </c>
      <c r="I8">
        <v>7050</v>
      </c>
      <c r="J8">
        <v>0</v>
      </c>
      <c r="K8">
        <v>142083</v>
      </c>
      <c r="L8">
        <v>51250</v>
      </c>
      <c r="M8">
        <f>SUM(H8:L8)</f>
        <v>691871</v>
      </c>
      <c r="N8" t="str">
        <v>Hải quan UPS</v>
      </c>
      <c r="O8">
        <v>0</v>
      </c>
      <c r="P8">
        <f>G8*O8</f>
        <v>0</v>
      </c>
      <c r="Q8">
        <f>M8+P8</f>
        <v>691871</v>
      </c>
      <c r="R8" t="str">
        <v>AWB mới (Tự tính cước)</v>
      </c>
    </row>
    <row r="9">
      <c r="A9">
        <v>5</v>
      </c>
      <c r="B9" t="str">
        <v>1Z84Y8200492184705</v>
      </c>
      <c r="C9" t="str">
        <v>UPS</v>
      </c>
      <c r="D9" t="str">
        <v>GB</v>
      </c>
      <c r="E9" t="str">
        <v>6</v>
      </c>
      <c r="F9" t="str">
        <v>🪵 Hàng Trầm Hương (Chưa có giá)</v>
      </c>
      <c r="G9">
        <v>4.5</v>
      </c>
      <c r="H9">
        <v>1309251</v>
      </c>
      <c r="I9">
        <v>63450</v>
      </c>
      <c r="J9">
        <v>0</v>
      </c>
      <c r="K9">
        <v>391220</v>
      </c>
      <c r="L9">
        <v>141114</v>
      </c>
      <c r="M9">
        <f>SUM(H9:L9)</f>
        <v>1905035</v>
      </c>
      <c r="N9" t="str">
        <v>Hải quan UPS</v>
      </c>
      <c r="O9">
        <v>0</v>
      </c>
      <c r="P9">
        <f>G9*O9</f>
        <v>0</v>
      </c>
      <c r="Q9">
        <f>M9+P9</f>
        <v>1905035</v>
      </c>
      <c r="R9" t="str">
        <v>AWB mới (Tự tính cước)</v>
      </c>
    </row>
    <row r="10">
      <c r="A10">
        <v>6</v>
      </c>
      <c r="B10" t="str">
        <v>771234567891</v>
      </c>
      <c r="C10" t="str">
        <v>FEDEX</v>
      </c>
      <c r="D10" t="str">
        <v>AU</v>
      </c>
      <c r="E10" t="str">
        <v>U</v>
      </c>
      <c r="F10" t="str">
        <v>💇 Hàng Tóc (Chưa có giá)</v>
      </c>
      <c r="G10">
        <v>2.5</v>
      </c>
      <c r="H10">
        <v>841707</v>
      </c>
      <c r="I10">
        <v>0</v>
      </c>
      <c r="J10">
        <v>0</v>
      </c>
      <c r="K10">
        <v>197801</v>
      </c>
      <c r="L10">
        <v>83161</v>
      </c>
      <c r="M10">
        <f>SUM(H10:L10)</f>
        <v>1122669</v>
      </c>
      <c r="N10" t="str">
        <v>Hải quan FedEx</v>
      </c>
      <c r="O10">
        <v>0</v>
      </c>
      <c r="P10">
        <f>G10*O10</f>
        <v>0</v>
      </c>
      <c r="Q10">
        <f>M10+P10</f>
        <v>1122669</v>
      </c>
      <c r="R10" t="str">
        <v>AWB mới (Tự tính cước)</v>
      </c>
    </row>
    <row r="11">
      <c r="A11">
        <v>7</v>
      </c>
      <c r="B11" t="str">
        <v>1Z84Y8200492184707</v>
      </c>
      <c r="C11" t="str">
        <v>UPS</v>
      </c>
      <c r="D11" t="str">
        <v>JP</v>
      </c>
      <c r="E11" t="str">
        <v>3</v>
      </c>
      <c r="F11" t="str">
        <v>📦 Hàng Thông Thường (HQ 8.000 đ/kg)</v>
      </c>
      <c r="G11">
        <v>5</v>
      </c>
      <c r="H11">
        <v>806638</v>
      </c>
      <c r="I11">
        <v>5875</v>
      </c>
      <c r="J11">
        <v>0</v>
      </c>
      <c r="K11">
        <v>231566</v>
      </c>
      <c r="L11">
        <v>83526</v>
      </c>
      <c r="M11">
        <f>SUM(H11:L11)</f>
        <v>1127605</v>
      </c>
      <c r="N11" t="str">
        <v>Hải quan UPS</v>
      </c>
      <c r="O11">
        <v>8000</v>
      </c>
      <c r="P11">
        <f>G11*O11</f>
        <v>40000</v>
      </c>
      <c r="Q11">
        <f>M11+P11</f>
        <v>1167605</v>
      </c>
      <c r="R11" t="str">
        <v>AWB mới (Tự tính cước)</v>
      </c>
    </row>
    <row r="12">
      <c r="A12">
        <v>8</v>
      </c>
      <c r="B12" t="str">
        <v>771234567892</v>
      </c>
      <c r="C12" t="str">
        <v>FEDEX</v>
      </c>
      <c r="D12" t="str">
        <v>SG</v>
      </c>
      <c r="E12" t="str">
        <v>Y</v>
      </c>
      <c r="F12" t="str">
        <v>📦 Hàng Thông Thường (HQ 8.000 đ/kg)</v>
      </c>
      <c r="G12">
        <v>1</v>
      </c>
      <c r="H12">
        <v>411905</v>
      </c>
      <c r="I12">
        <v>0</v>
      </c>
      <c r="J12">
        <v>0</v>
      </c>
      <c r="K12">
        <v>96798</v>
      </c>
      <c r="L12">
        <v>40696</v>
      </c>
      <c r="M12">
        <f>SUM(H12:L12)</f>
        <v>549399</v>
      </c>
      <c r="N12" t="str">
        <v>Hải quan FedEx</v>
      </c>
      <c r="O12">
        <v>8000</v>
      </c>
      <c r="P12">
        <f>G12*O12</f>
        <v>8000</v>
      </c>
      <c r="Q12">
        <f>M12+P12</f>
        <v>557399</v>
      </c>
      <c r="R12" t="str">
        <v>AWB mới (Tự tính cước)</v>
      </c>
    </row>
    <row r="13">
      <c r="A13">
        <v>9</v>
      </c>
      <c r="B13" t="str">
        <v>1Z84Y8200492184709</v>
      </c>
      <c r="C13" t="str">
        <v>UPS</v>
      </c>
      <c r="D13" t="str">
        <v>KR</v>
      </c>
      <c r="E13" t="str">
        <v>3</v>
      </c>
      <c r="F13" t="str">
        <v>📦 Hàng Thông Thường (HQ 8.000 đ/kg)</v>
      </c>
      <c r="G13">
        <v>8</v>
      </c>
      <c r="H13">
        <v>1099800</v>
      </c>
      <c r="I13">
        <v>9400</v>
      </c>
      <c r="J13">
        <v>0</v>
      </c>
      <c r="K13">
        <v>316122</v>
      </c>
      <c r="L13">
        <v>114026</v>
      </c>
      <c r="M13">
        <f>SUM(H13:L13)</f>
        <v>1539348</v>
      </c>
      <c r="N13" t="str">
        <v>Hải quan UPS</v>
      </c>
      <c r="O13">
        <v>8000</v>
      </c>
      <c r="P13">
        <f>G13*O13</f>
        <v>64000</v>
      </c>
      <c r="Q13">
        <f>M13+P13</f>
        <v>1603348</v>
      </c>
      <c r="R13" t="str">
        <v>AWB mới (Tự tính cước)</v>
      </c>
    </row>
    <row r="14">
      <c r="A14">
        <v>10</v>
      </c>
      <c r="B14" t="str">
        <v>1Z84Y8200492184710</v>
      </c>
      <c r="C14" t="str">
        <v>UPS</v>
      </c>
      <c r="D14" t="str">
        <v>US</v>
      </c>
      <c r="E14" t="str">
        <v>US</v>
      </c>
      <c r="F14" t="str">
        <v>💄 Thực Phẩm, Mỹ Phẩm (HQ Viettel 32k / Khách 40k)</v>
      </c>
      <c r="G14">
        <v>21</v>
      </c>
      <c r="H14">
        <v>2756099</v>
      </c>
      <c r="I14">
        <v>419475</v>
      </c>
      <c r="J14">
        <v>58750</v>
      </c>
      <c r="K14">
        <v>921782</v>
      </c>
      <c r="L14">
        <v>332488</v>
      </c>
      <c r="M14">
        <f>SUM(H14:L14)</f>
        <v>4488594</v>
      </c>
      <c r="N14" t="str">
        <v>Hải quan UPS</v>
      </c>
      <c r="O14">
        <v>32000</v>
      </c>
      <c r="P14">
        <f>G14*O14</f>
        <v>672000</v>
      </c>
      <c r="Q14">
        <f>M14+P14</f>
        <v>5160594</v>
      </c>
      <c r="R14" t="str">
        <v>AWB mới (Tự tính cước)</v>
      </c>
    </row>
    <row r="15">
      <c r="A15" t="str">
        <v>TỔNG CỘNG</v>
      </c>
      <c r="B15" t="str">
        <v>10 vận đơn AWB</v>
      </c>
      <c r="C15" t="str">
        <v/>
      </c>
      <c r="D15" t="str">
        <v/>
      </c>
      <c r="E15" t="str">
        <v/>
      </c>
      <c r="F15" t="str">
        <v/>
      </c>
      <c r="G15">
        <f>SUM(G5:G14)</f>
        <v>49</v>
      </c>
      <c r="H15">
        <f>SUM(H5:H14)</f>
        <v>10273041</v>
      </c>
      <c r="I15">
        <f>SUM(I5:I14)</f>
        <v>575163</v>
      </c>
      <c r="J15">
        <f>SUM(J5:J14)</f>
        <v>117500</v>
      </c>
      <c r="K15">
        <f>SUM(K5:K14)</f>
        <v>3015292</v>
      </c>
      <c r="L15">
        <f>SUM(L5:L14)</f>
        <v>1118480</v>
      </c>
      <c r="M15">
        <f>SUM(M5:M14)</f>
        <v>15099476</v>
      </c>
      <c r="N15" t="str">
        <v/>
      </c>
      <c r="O15" t="str">
        <v/>
      </c>
      <c r="P15">
        <f>SUM(P5:P14)</f>
        <v>965000</v>
      </c>
      <c r="Q15">
        <f>SUM(Q5:Q14)</f>
        <v>16064476</v>
      </c>
      <c r="R15" t="str">
        <v/>
      </c>
    </row>
  </sheetData>
  <ignoredErrors>
    <ignoredError numberStoredAsText="1" sqref="A1:R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Bang_Ke_Chi_Tra_NCC_Va_HQ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