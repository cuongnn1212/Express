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DCE932E-F831-4A45-8DDC-EC408A05E56B}" xr6:coauthVersionLast="47" xr6:coauthVersionMax="47" xr10:uidLastSave="{00000000-0000-0000-0000-000000000000}"/>
  <bookViews>
    <workbookView xWindow="14775" yWindow="465" windowWidth="13695" windowHeight="14055" xr2:uid="{00000000-000D-0000-FFFF-FFFF00000000}"/>
  </bookViews>
  <sheets>
    <sheet name="OTHER" sheetId="1" r:id="rId1"/>
  </sheets>
  <definedNames>
    <definedName name="_xlnm.Print_Area" localSheetId="0">OTHER!$A$1:$I$34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 s="1"/>
  <c r="H31" i="1" s="1"/>
  <c r="H2" i="1"/>
</calcChain>
</file>

<file path=xl/sharedStrings.xml><?xml version="1.0" encoding="utf-8"?>
<sst xmlns="http://schemas.openxmlformats.org/spreadsheetml/2006/main" count="54" uniqueCount="50">
  <si>
    <t xml:space="preserve"> INVOICE</t>
  </si>
  <si>
    <t>Date:</t>
  </si>
  <si>
    <t>SHIPPER</t>
  </si>
  <si>
    <t>Air waybill No.</t>
  </si>
  <si>
    <t>Company Name</t>
  </si>
  <si>
    <t>HA NOI NHANH CO.,LTD - 0107959511</t>
  </si>
  <si>
    <t>Address</t>
  </si>
  <si>
    <t>No. 4A- 251/8 Nguyen Khang, Yen Hoa, Hanoi</t>
  </si>
  <si>
    <t>Town/ Area Code</t>
  </si>
  <si>
    <t xml:space="preserve">No. of pkgs </t>
  </si>
  <si>
    <t>State/ Country</t>
  </si>
  <si>
    <t>VIET NAM</t>
  </si>
  <si>
    <t>Contact Name</t>
  </si>
  <si>
    <t>HA NOI NHANH CO.,LTD</t>
  </si>
  <si>
    <t xml:space="preserve">Weight </t>
  </si>
  <si>
    <t xml:space="preserve">Phone/Fax No. </t>
  </si>
  <si>
    <t>0928191299</t>
  </si>
  <si>
    <t xml:space="preserve">Dimensions </t>
  </si>
  <si>
    <t>CONSIGNEE</t>
  </si>
  <si>
    <t>Services</t>
  </si>
  <si>
    <t>UPS Saver</t>
  </si>
  <si>
    <t>Postal code</t>
  </si>
  <si>
    <t>01603</t>
  </si>
  <si>
    <t xml:space="preserve">State/ Country </t>
  </si>
  <si>
    <t>USA</t>
  </si>
  <si>
    <t>Gmail:</t>
  </si>
  <si>
    <t>Description of goods (Mô tả hàng)
Harmonized System tariff Number 
( If known)</t>
  </si>
  <si>
    <t>No
Units
(Số lượng)</t>
  </si>
  <si>
    <t>Unit (pcs/sets/box)</t>
  </si>
  <si>
    <t>Country
of Origin
(Xuất xứ)</t>
  </si>
  <si>
    <t>Unit Value
(Giá trị của 1 đơn vị hàng)</t>
  </si>
  <si>
    <t>Total
Value
(Tổng giá trị)</t>
  </si>
  <si>
    <t>pcs</t>
  </si>
  <si>
    <t>Vietnam</t>
  </si>
  <si>
    <t>REASON FOR EXPORT : Gift</t>
  </si>
  <si>
    <t>Subtotal</t>
  </si>
  <si>
    <t>Terms of Sale (Incoterm) :</t>
  </si>
  <si>
    <t xml:space="preserve">No.of packages (Số kiện)             :      </t>
  </si>
  <si>
    <t xml:space="preserve">Total Actual weight (Trọng lượng thực)          :     </t>
  </si>
  <si>
    <t>Shipping charge</t>
  </si>
  <si>
    <t xml:space="preserve">Total Dimensional weight (Trọng lượng khối) :  </t>
  </si>
  <si>
    <t>Insuarance</t>
  </si>
  <si>
    <t>Total Value of shipment (Tổng giá trị)</t>
  </si>
  <si>
    <t>clearance for export out of Vietnam.</t>
  </si>
  <si>
    <t xml:space="preserve">     Designation of Authorised Signatory</t>
  </si>
  <si>
    <t>Người khai (Ký tên/ đóng dấu)</t>
  </si>
  <si>
    <t xml:space="preserve">Used polyester wedding dress - hàng váy cưới đã qua sử dụng 
100% Polyester
HS Code: 6309.00.00
Distributed by: Nicole Bridal
Address: 2nd Floor, No. 1 Trung Phung, Dong Da, Hanoi
</t>
  </si>
  <si>
    <t>1200 Main St, 
Worcester, MA 01603, USA</t>
  </si>
  <si>
    <t>774-433-0293</t>
  </si>
  <si>
    <t>Katie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</si>
</sst>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\ &quot;USD&quot;"/>
    <numFmt numFmtId="165" formatCode="dd/mm/yyyy;@"/>
    <numFmt numFmtId="166" formatCode="0.00\ &quot;KGS&quot;"/>
    <numFmt numFmtId="167" formatCode="&quot;$&quot;#,##0.00"/>
  </numFmts>
  <fonts count="25"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Arial"/>
      <charset val="134"/>
    </font>
    <font>
      <b/>
      <i/>
      <sz val="11"/>
      <name val="Arial"/>
      <charset val="134"/>
    </font>
    <font>
      <b/>
      <sz val="11"/>
      <color theme="4" tint="-0.499984740745262"/>
      <name val="Arial"/>
      <charset val="134"/>
    </font>
    <font>
      <sz val="11"/>
      <color rgb="FF000000"/>
      <name val="Tahoma"/>
      <charset val="134"/>
    </font>
    <font>
      <b/>
      <u/>
      <sz val="11"/>
      <name val="Arial Narrow"/>
      <charset val="134"/>
    </font>
    <font>
      <b/>
      <sz val="11"/>
      <name val="Arial Narrow"/>
      <charset val="134"/>
    </font>
    <font>
      <b/>
      <sz val="11"/>
      <name val="Century Gothic"/>
      <charset val="134"/>
    </font>
    <font>
      <sz val="11"/>
      <name val="Arial Narrow"/>
      <charset val="134"/>
    </font>
    <font>
      <b/>
      <sz val="11"/>
      <color theme="1"/>
      <name val="Century Gothic"/>
      <charset val="134"/>
    </font>
    <font>
      <sz val="10"/>
      <color rgb="FF222222"/>
      <name val="Arial"/>
      <charset val="134"/>
    </font>
    <font>
      <sz val="11"/>
      <color theme="1"/>
      <name val="Century Gothic"/>
      <charset val="134"/>
    </font>
    <font>
      <sz val="11"/>
      <name val="Century Gothic"/>
      <charset val="134"/>
    </font>
    <font>
      <b/>
      <u/>
      <sz val="12"/>
      <name val="Arial Narrow"/>
      <charset val="134"/>
    </font>
    <font>
      <b/>
      <sz val="11"/>
      <name val="Arial"/>
      <charset val="134"/>
    </font>
    <font>
      <b/>
      <sz val="12"/>
      <color rgb="FF222222"/>
      <name val="Times New Roman"/>
      <charset val="134"/>
    </font>
    <font>
      <sz val="12"/>
      <color rgb="FF222222"/>
      <name val="Times New Roman"/>
      <charset val="134"/>
    </font>
    <font>
      <b/>
      <sz val="11"/>
      <color theme="4" tint="-0.499984740745262"/>
      <name val="Century Gothic"/>
      <charset val="134"/>
    </font>
    <font>
      <sz val="13"/>
      <name val="Times New Roman"/>
      <charset val="134"/>
    </font>
    <font>
      <u/>
      <sz val="10"/>
      <color theme="10"/>
      <name val="Arial"/>
      <charset val="134"/>
    </font>
    <font>
      <sz val="14"/>
      <name val="Arial"/>
      <charset val="134"/>
    </font>
    <font>
      <sz val="12"/>
      <name val="Times New Roman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4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0" fontId="2" fillId="0" borderId="4" xfId="0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164" fontId="4" fillId="0" borderId="0" xfId="0" applyNumberFormat="1" applyFont="1"/>
    <xf numFmtId="165" fontId="6" fillId="0" borderId="5" xfId="0" applyNumberFormat="1" applyFont="1" applyBorder="1" applyAlignment="1">
      <alignment horizontal="center" vertical="center"/>
    </xf>
    <xf numFmtId="0" fontId="7" fillId="0" borderId="4" xfId="0" applyFont="1" applyBorder="1"/>
    <xf numFmtId="164" fontId="8" fillId="0" borderId="0" xfId="0" applyNumberFormat="1" applyFont="1"/>
    <xf numFmtId="0" fontId="9" fillId="0" borderId="5" xfId="0" applyFont="1" applyBorder="1" applyAlignment="1">
      <alignment horizontal="center" vertical="center"/>
    </xf>
    <xf numFmtId="0" fontId="10" fillId="0" borderId="4" xfId="0" applyFont="1" applyBorder="1"/>
    <xf numFmtId="0" fontId="11" fillId="0" borderId="6" xfId="0" applyFont="1" applyBorder="1" applyAlignment="1">
      <alignment horizontal="left"/>
    </xf>
    <xf numFmtId="164" fontId="9" fillId="0" borderId="7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6" xfId="0" applyFont="1" applyBorder="1" applyAlignment="1">
      <alignment horizontal="left"/>
    </xf>
    <xf numFmtId="164" fontId="14" fillId="0" borderId="7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left" indent="1"/>
    </xf>
    <xf numFmtId="0" fontId="14" fillId="0" borderId="5" xfId="0" applyFont="1" applyBorder="1" applyAlignment="1">
      <alignment horizontal="center" vertical="center"/>
    </xf>
    <xf numFmtId="0" fontId="13" fillId="0" borderId="8" xfId="0" applyFont="1" applyBorder="1"/>
    <xf numFmtId="0" fontId="13" fillId="0" borderId="8" xfId="0" applyFont="1" applyBorder="1" applyAlignment="1">
      <alignment horizontal="left"/>
    </xf>
    <xf numFmtId="166" fontId="14" fillId="0" borderId="5" xfId="0" applyNumberFormat="1" applyFont="1" applyBorder="1" applyAlignment="1">
      <alignment horizontal="center" vertical="center"/>
    </xf>
    <xf numFmtId="164" fontId="14" fillId="0" borderId="9" xfId="0" applyNumberFormat="1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" fillId="0" borderId="10" xfId="0" applyFont="1" applyBorder="1" applyAlignment="1">
      <alignment horizontal="center" wrapText="1" readingOrder="1"/>
    </xf>
    <xf numFmtId="0" fontId="14" fillId="0" borderId="0" xfId="0" applyFont="1"/>
    <xf numFmtId="1" fontId="14" fillId="0" borderId="0" xfId="0" applyNumberFormat="1" applyFont="1"/>
    <xf numFmtId="0" fontId="15" fillId="0" borderId="4" xfId="0" applyFont="1" applyBorder="1"/>
    <xf numFmtId="164" fontId="14" fillId="0" borderId="9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left" vertical="center" wrapText="1"/>
    </xf>
    <xf numFmtId="164" fontId="2" fillId="0" borderId="0" xfId="0" applyNumberFormat="1" applyFont="1"/>
    <xf numFmtId="164" fontId="16" fillId="0" borderId="0" xfId="0" applyNumberFormat="1" applyFont="1" applyAlignment="1">
      <alignment horizontal="center" vertical="center"/>
    </xf>
    <xf numFmtId="164" fontId="16" fillId="2" borderId="7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left"/>
    </xf>
    <xf numFmtId="0" fontId="18" fillId="0" borderId="6" xfId="0" applyFont="1" applyBorder="1"/>
    <xf numFmtId="0" fontId="21" fillId="0" borderId="6" xfId="2" applyBorder="1"/>
    <xf numFmtId="0" fontId="16" fillId="0" borderId="6" xfId="0" applyFont="1" applyBorder="1"/>
    <xf numFmtId="1" fontId="2" fillId="0" borderId="6" xfId="0" applyNumberFormat="1" applyFont="1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4" fontId="0" fillId="0" borderId="13" xfId="1" applyFont="1" applyBorder="1" applyAlignment="1">
      <alignment horizontal="center" vertical="center" wrapText="1"/>
    </xf>
    <xf numFmtId="44" fontId="0" fillId="0" borderId="13" xfId="0" applyNumberFormat="1" applyBorder="1" applyAlignment="1">
      <alignment horizontal="center" vertical="center" wrapText="1"/>
    </xf>
    <xf numFmtId="0" fontId="2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right"/>
    </xf>
    <xf numFmtId="44" fontId="1" fillId="2" borderId="13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22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7" fontId="22" fillId="0" borderId="1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3" fillId="0" borderId="8" xfId="0" quotePrefix="1" applyFont="1" applyBorder="1"/>
    <xf numFmtId="0" fontId="19" fillId="0" borderId="8" xfId="0" quotePrefix="1" applyFont="1" applyBorder="1" applyAlignment="1">
      <alignment horizontal="left" vertical="center" wrapText="1"/>
    </xf>
    <xf numFmtId="1" fontId="20" fillId="0" borderId="6" xfId="0" quotePrefix="1" applyNumberFormat="1" applyFont="1" applyBorder="1"/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6" xfId="0" applyFont="1" applyBorder="1" applyAlignment="1">
      <alignment horizontal="left" vertical="top"/>
    </xf>
    <xf numFmtId="0" fontId="2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4"/>
  <sheetViews>
    <sheetView showGridLines="0" tabSelected="1" topLeftCell="A3" zoomScaleNormal="100" workbookViewId="0">
      <selection activeCell="H10" sqref="H10:I12"/>
    </sheetView>
  </sheetViews>
  <sheetFormatPr defaultColWidth="9.140625" defaultRowHeight="14.25"/>
  <cols>
    <col min="1" max="1" width="1.28515625" style="3" customWidth="1"/>
    <col min="2" max="2" width="16" style="3" customWidth="1"/>
    <col min="3" max="3" width="24.28515625" style="3" customWidth="1"/>
    <col min="4" max="4" width="10.42578125" style="3" customWidth="1"/>
    <col min="5" max="5" width="12.5703125" style="3" customWidth="1"/>
    <col min="6" max="6" width="14.7109375" style="4" customWidth="1"/>
    <col min="7" max="7" width="13.28515625" style="3" customWidth="1"/>
    <col min="8" max="8" width="21.85546875" style="5" customWidth="1"/>
    <col min="9" max="9" width="3.5703125" style="3" customWidth="1"/>
    <col min="10" max="16384" width="9.140625" style="3"/>
  </cols>
  <sheetData>
    <row r="1" spans="2:8" ht="24.75" customHeight="1">
      <c r="B1" s="74" t="s">
        <v>0</v>
      </c>
      <c r="C1" s="75"/>
      <c r="D1" s="75"/>
      <c r="E1" s="75"/>
      <c r="F1" s="75"/>
      <c r="G1" s="75"/>
      <c r="H1" s="76"/>
    </row>
    <row r="2" spans="2:8" ht="17.25" customHeight="1">
      <c r="B2" s="6"/>
      <c r="C2" s="7"/>
      <c r="D2" s="8"/>
      <c r="E2" s="8"/>
      <c r="G2" s="9" t="s">
        <v>1</v>
      </c>
      <c r="H2" s="10">
        <f ca="1">TODAY()</f>
        <v>46163</v>
      </c>
    </row>
    <row r="3" spans="2:8" ht="15.95" customHeight="1">
      <c r="B3" s="11" t="s">
        <v>2</v>
      </c>
      <c r="G3" s="12" t="s">
        <v>3</v>
      </c>
      <c r="H3" s="13"/>
    </row>
    <row r="4" spans="2:8" ht="15.95" customHeight="1">
      <c r="B4" s="14" t="s">
        <v>4</v>
      </c>
      <c r="C4" s="15" t="s">
        <v>5</v>
      </c>
      <c r="D4" s="15"/>
      <c r="E4" s="15"/>
      <c r="F4" s="15"/>
      <c r="G4" s="12"/>
      <c r="H4" s="16"/>
    </row>
    <row r="5" spans="2:8" ht="15.95" customHeight="1">
      <c r="B5" s="14" t="s">
        <v>6</v>
      </c>
      <c r="C5" s="17" t="s">
        <v>7</v>
      </c>
      <c r="D5" s="18"/>
      <c r="E5" s="18"/>
      <c r="F5" s="18"/>
      <c r="G5" s="12"/>
      <c r="H5" s="19"/>
    </row>
    <row r="6" spans="2:8" ht="15.95" customHeight="1">
      <c r="B6" s="14" t="s">
        <v>8</v>
      </c>
      <c r="C6" s="18">
        <v>11312</v>
      </c>
      <c r="D6" s="18"/>
      <c r="E6" s="18"/>
      <c r="F6" s="18"/>
      <c r="G6" s="20" t="s">
        <v>9</v>
      </c>
      <c r="H6" s="21">
        <v>2</v>
      </c>
    </row>
    <row r="7" spans="2:8" ht="15.95" customHeight="1">
      <c r="B7" s="14" t="s">
        <v>10</v>
      </c>
      <c r="C7" s="18" t="s">
        <v>11</v>
      </c>
      <c r="D7" s="15"/>
      <c r="E7" s="15"/>
      <c r="F7" s="15"/>
      <c r="G7" s="20"/>
      <c r="H7" s="19"/>
    </row>
    <row r="8" spans="2:8" ht="15.95" customHeight="1">
      <c r="B8" s="14" t="s">
        <v>12</v>
      </c>
      <c r="C8" s="3" t="s">
        <v>13</v>
      </c>
      <c r="D8" s="22"/>
      <c r="E8" s="22"/>
      <c r="F8" s="23"/>
      <c r="G8" s="20" t="s">
        <v>14</v>
      </c>
      <c r="H8" s="24">
        <v>28</v>
      </c>
    </row>
    <row r="9" spans="2:8" ht="18" customHeight="1">
      <c r="B9" s="14" t="s">
        <v>15</v>
      </c>
      <c r="C9" s="65" t="s">
        <v>16</v>
      </c>
      <c r="D9" s="23"/>
      <c r="E9" s="23"/>
      <c r="F9" s="23"/>
      <c r="G9" s="20"/>
      <c r="H9" s="25"/>
    </row>
    <row r="10" spans="2:8" ht="18" customHeight="1">
      <c r="B10" s="14"/>
      <c r="C10" s="26"/>
      <c r="D10" s="27"/>
      <c r="E10" s="27"/>
      <c r="F10" s="27"/>
      <c r="G10" s="20" t="s">
        <v>17</v>
      </c>
      <c r="H10" s="28"/>
    </row>
    <row r="11" spans="2:8" ht="18" customHeight="1">
      <c r="B11" s="14"/>
      <c r="C11" s="26"/>
      <c r="D11" s="27"/>
      <c r="E11" s="27"/>
      <c r="F11" s="27"/>
      <c r="G11" s="20"/>
      <c r="H11" s="28"/>
    </row>
    <row r="12" spans="2:8" ht="18" customHeight="1">
      <c r="B12" s="14"/>
      <c r="C12" s="26"/>
      <c r="D12" s="27"/>
      <c r="E12" s="27"/>
      <c r="F12" s="27"/>
      <c r="G12" s="20"/>
      <c r="H12" s="28"/>
    </row>
    <row r="13" spans="2:8" ht="18" customHeight="1">
      <c r="B13" s="14"/>
      <c r="C13" s="29"/>
      <c r="D13" s="29"/>
      <c r="E13" s="29"/>
      <c r="F13" s="30"/>
      <c r="H13" s="28"/>
    </row>
    <row r="14" spans="2:8" ht="18" customHeight="1">
      <c r="B14" s="31" t="s">
        <v>18</v>
      </c>
      <c r="G14" s="20"/>
      <c r="H14" s="32"/>
    </row>
    <row r="15" spans="2:8" ht="18.75" customHeight="1">
      <c r="B15" s="33" t="s">
        <v>4</v>
      </c>
      <c r="C15" s="34"/>
      <c r="D15" s="35"/>
      <c r="E15" s="35"/>
      <c r="F15" s="35"/>
      <c r="G15" s="36"/>
      <c r="H15" s="25"/>
    </row>
    <row r="16" spans="2:8" ht="18" customHeight="1">
      <c r="B16" s="14" t="s">
        <v>6</v>
      </c>
      <c r="C16" s="70" t="s">
        <v>47</v>
      </c>
      <c r="D16" s="71"/>
      <c r="E16" s="71"/>
      <c r="F16" s="71"/>
      <c r="G16" s="37" t="s">
        <v>19</v>
      </c>
      <c r="H16" s="38" t="s">
        <v>20</v>
      </c>
    </row>
    <row r="17" spans="2:12" ht="28.5" customHeight="1">
      <c r="B17" s="14"/>
      <c r="C17" s="72"/>
      <c r="D17" s="72"/>
      <c r="E17" s="72"/>
      <c r="F17" s="72"/>
      <c r="G17" s="36"/>
      <c r="H17" s="39"/>
    </row>
    <row r="18" spans="2:12" ht="15.95" customHeight="1">
      <c r="B18" s="14" t="s">
        <v>21</v>
      </c>
      <c r="C18" s="66" t="s">
        <v>22</v>
      </c>
      <c r="D18" s="40"/>
      <c r="E18" s="40"/>
      <c r="F18" s="40"/>
      <c r="G18" s="36"/>
      <c r="H18" s="39"/>
    </row>
    <row r="19" spans="2:12" ht="15.95" customHeight="1">
      <c r="B19" s="14" t="s">
        <v>23</v>
      </c>
      <c r="C19" s="15" t="s">
        <v>24</v>
      </c>
      <c r="D19" s="18"/>
      <c r="E19" s="18"/>
      <c r="F19" s="18"/>
      <c r="G19" s="36"/>
      <c r="H19" s="39"/>
      <c r="K19" s="69"/>
      <c r="L19" s="69"/>
    </row>
    <row r="20" spans="2:12" ht="15.95" customHeight="1">
      <c r="B20" s="14" t="s">
        <v>12</v>
      </c>
      <c r="C20" s="77" t="s">
        <v>49</v>
      </c>
      <c r="D20" s="77"/>
      <c r="E20" s="77"/>
      <c r="F20" s="77"/>
      <c r="G20" s="36"/>
      <c r="H20" s="39"/>
      <c r="K20" s="69"/>
      <c r="L20" s="69"/>
    </row>
    <row r="21" spans="2:12" ht="15.95" customHeight="1">
      <c r="B21" s="14" t="s">
        <v>15</v>
      </c>
      <c r="C21" s="67" t="s">
        <v>48</v>
      </c>
      <c r="D21" s="41"/>
      <c r="E21" s="41"/>
      <c r="F21" s="41"/>
      <c r="G21" s="36"/>
      <c r="H21" s="39"/>
      <c r="K21" s="69"/>
      <c r="L21" s="69"/>
    </row>
    <row r="22" spans="2:12" ht="18" customHeight="1">
      <c r="B22" s="6" t="s">
        <v>25</v>
      </c>
      <c r="C22" s="42"/>
      <c r="D22" s="43"/>
      <c r="E22" s="43"/>
      <c r="F22" s="44"/>
      <c r="G22" s="36"/>
      <c r="H22" s="39"/>
      <c r="K22" s="69"/>
      <c r="L22" s="69"/>
    </row>
    <row r="23" spans="2:12" s="1" customFormat="1" ht="57" customHeight="1">
      <c r="B23" s="78" t="s">
        <v>26</v>
      </c>
      <c r="C23" s="79"/>
      <c r="D23" s="46" t="s">
        <v>27</v>
      </c>
      <c r="E23" s="46" t="s">
        <v>28</v>
      </c>
      <c r="F23" s="46" t="s">
        <v>29</v>
      </c>
      <c r="G23" s="47" t="s">
        <v>30</v>
      </c>
      <c r="H23" s="46" t="s">
        <v>31</v>
      </c>
    </row>
    <row r="24" spans="2:12" s="1" customFormat="1" ht="114.75" customHeight="1">
      <c r="B24" s="80" t="s">
        <v>46</v>
      </c>
      <c r="C24" s="81"/>
      <c r="D24" s="45">
        <v>3</v>
      </c>
      <c r="E24" s="45" t="s">
        <v>32</v>
      </c>
      <c r="F24" s="46" t="s">
        <v>33</v>
      </c>
      <c r="G24" s="47">
        <v>55</v>
      </c>
      <c r="H24" s="48">
        <f>D24*G24</f>
        <v>165</v>
      </c>
    </row>
    <row r="25" spans="2:12" s="2" customFormat="1" ht="18" customHeight="1">
      <c r="B25" s="49" t="s">
        <v>34</v>
      </c>
      <c r="C25" s="50"/>
      <c r="D25" s="50"/>
      <c r="E25" s="50"/>
      <c r="F25" s="51"/>
      <c r="G25" s="52" t="s">
        <v>35</v>
      </c>
      <c r="H25" s="53">
        <f>SUM(H24:H24)</f>
        <v>165</v>
      </c>
    </row>
    <row r="26" spans="2:12" ht="15">
      <c r="B26" s="2"/>
      <c r="C26" s="2"/>
      <c r="D26" s="2"/>
      <c r="E26" s="2"/>
      <c r="F26" s="2"/>
      <c r="G26" s="2"/>
      <c r="H26" s="54"/>
    </row>
    <row r="27" spans="2:12" s="2" customFormat="1" ht="15.75" customHeight="1">
      <c r="B27" s="55" t="s">
        <v>36</v>
      </c>
      <c r="C27" s="50"/>
      <c r="D27" s="51"/>
      <c r="E27" s="56"/>
      <c r="F27" s="57"/>
      <c r="G27" s="57"/>
      <c r="H27" s="54"/>
    </row>
    <row r="28" spans="2:12" s="2" customFormat="1" ht="19.5" customHeight="1">
      <c r="B28" s="55" t="s">
        <v>37</v>
      </c>
      <c r="C28" s="50"/>
      <c r="D28" s="51"/>
      <c r="E28" s="56"/>
      <c r="F28" s="57"/>
      <c r="G28" s="57"/>
      <c r="H28" s="54"/>
    </row>
    <row r="29" spans="2:12" s="2" customFormat="1" ht="17.25" customHeight="1">
      <c r="B29" s="55" t="s">
        <v>38</v>
      </c>
      <c r="C29" s="50"/>
      <c r="D29" s="51"/>
      <c r="E29" s="51"/>
      <c r="F29" s="52" t="s">
        <v>39</v>
      </c>
      <c r="G29" s="52"/>
      <c r="H29" s="58"/>
    </row>
    <row r="30" spans="2:12" s="2" customFormat="1" ht="17.25" customHeight="1">
      <c r="B30" s="55" t="s">
        <v>40</v>
      </c>
      <c r="C30" s="50"/>
      <c r="D30" s="51"/>
      <c r="E30" s="51"/>
      <c r="F30" s="52" t="s">
        <v>41</v>
      </c>
      <c r="G30" s="52"/>
      <c r="H30" s="58"/>
    </row>
    <row r="31" spans="2:12" ht="18" customHeight="1">
      <c r="B31" s="59"/>
      <c r="C31" s="59"/>
      <c r="D31" s="59"/>
      <c r="E31" s="59"/>
      <c r="F31" s="60" t="s">
        <v>42</v>
      </c>
      <c r="G31" s="61"/>
      <c r="H31" s="62">
        <f>H25</f>
        <v>165</v>
      </c>
    </row>
    <row r="32" spans="2:12" ht="16.5">
      <c r="B32" s="63" t="s">
        <v>43</v>
      </c>
      <c r="C32" s="63"/>
      <c r="D32" s="63"/>
      <c r="E32" s="63"/>
      <c r="F32" s="63"/>
      <c r="G32" s="63"/>
      <c r="H32" s="64"/>
    </row>
    <row r="33" spans="6:8" ht="16.5" customHeight="1">
      <c r="F33" s="73" t="s">
        <v>44</v>
      </c>
      <c r="G33" s="73"/>
      <c r="H33" s="73"/>
    </row>
    <row r="34" spans="6:8" ht="15.75">
      <c r="F34" s="68" t="s">
        <v>45</v>
      </c>
      <c r="G34" s="68"/>
      <c r="H34" s="68"/>
    </row>
  </sheetData>
  <mergeCells count="8">
    <mergeCell ref="F34:H34"/>
    <mergeCell ref="K19:L22"/>
    <mergeCell ref="C16:F17"/>
    <mergeCell ref="F33:H33"/>
    <mergeCell ref="B1:H1"/>
    <mergeCell ref="C20:F20"/>
    <mergeCell ref="B23:C23"/>
    <mergeCell ref="B24:C24"/>
  </mergeCells>
  <pageMargins left="0.28000000000000003" right="0.35" top="0.25" bottom="0.21" header="0.18" footer="0.21"/>
  <pageSetup scale="86" orientation="portrait" horizontalDpi="300" verticalDpi="300" r:id="rId1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OTHER</vt:lpstr>
      <vt:lpstr>OTHER!Print_Area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Nguyễn Văn Toàn</cp:lastModifiedBy>
  <cp:lastPrinted>2026-05-21T03:04:57Z</cp:lastPrinted>
  <dcterms:created xsi:type="dcterms:W3CDTF">2010-11-17T09:32:00Z</dcterms:created>
  <dcterms:modified xsi:type="dcterms:W3CDTF">2026-05-21T03:19:13Z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5C929C3FF6F140F2A15131F5331044D1_13</vt:lpwstr>
  </property>
  <property fmtid="{D5CDD505-2E9C-101B-9397-08002B2CF9AE}" pid="3" name="KSOProductBuildVer">
    <vt:lpwstr>1033-12.2.0.23196</vt:lpwstr>
  </property>
</Properties>
</file>